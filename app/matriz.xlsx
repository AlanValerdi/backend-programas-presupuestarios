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/>
  <mc:AlternateContent xmlns:mc="http://schemas.openxmlformats.org/markup-compatibility/2006">
    <mc:Choice Requires="x15">
      <x15ac:absPath xmlns:x15ac="http://schemas.microsoft.com/office/spreadsheetml/2010/11/ac" url="D:\PRESUPUESTO 2026\"/>
    </mc:Choice>
  </mc:AlternateContent>
  <xr:revisionPtr revIDLastSave="0" documentId="13_ncr:1_{02BD5E32-CD1A-4CD1-B9A0-45DAB372DB4F}" xr6:coauthVersionLast="47" xr6:coauthVersionMax="47" xr10:uidLastSave="{00000000-0000-0000-0000-000000000000}"/>
  <bookViews>
    <workbookView xWindow="-120" yWindow="-120" windowWidth="29040" windowHeight="15720" xr2:uid="{38BAB467-52EE-4D1C-8A13-E593EE5280F3}"/>
  </bookViews>
  <sheets>
    <sheet name="Componentes y actividades" sheetId="2" r:id="rId1"/>
  </sheets>
  <definedNames>
    <definedName name="_xlnm.Print_Area" localSheetId="0">'Componentes y actividades'!$B$2:$AB$360</definedName>
    <definedName name="_xlnm.Print_Titles" localSheetId="0">'Componentes y actividades'!$2:$4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9" i="2" l="1"/>
  <c r="D355" i="2"/>
  <c r="D284" i="2"/>
  <c r="D203" i="2"/>
  <c r="D153" i="2"/>
  <c r="D25" i="2"/>
  <c r="K238" i="2"/>
  <c r="K203" i="2"/>
  <c r="K184" i="2"/>
  <c r="K146" i="2"/>
  <c r="K71" i="2"/>
  <c r="D71" i="2" s="1"/>
  <c r="K149" i="2"/>
  <c r="K142" i="2"/>
  <c r="K138" i="2"/>
  <c r="K133" i="2"/>
  <c r="K125" i="2"/>
  <c r="K120" i="2"/>
  <c r="K115" i="2"/>
  <c r="K109" i="2"/>
  <c r="K278" i="2"/>
  <c r="K269" i="2"/>
  <c r="K263" i="2"/>
  <c r="K255" i="2"/>
  <c r="K249" i="2"/>
  <c r="K246" i="2"/>
  <c r="K297" i="2"/>
  <c r="K289" i="2"/>
  <c r="K284" i="2"/>
  <c r="K321" i="2"/>
  <c r="K328" i="2"/>
  <c r="K334" i="2"/>
  <c r="K336" i="2"/>
  <c r="K340" i="2"/>
  <c r="K343" i="2"/>
  <c r="K345" i="2"/>
  <c r="K348" i="2"/>
  <c r="K303" i="2"/>
  <c r="D303" i="2" s="1"/>
  <c r="K305" i="2"/>
  <c r="K314" i="2"/>
  <c r="K316" i="2"/>
  <c r="K209" i="2"/>
  <c r="K219" i="2"/>
  <c r="K227" i="2"/>
  <c r="K194" i="2"/>
  <c r="K188" i="2"/>
  <c r="K180" i="2"/>
  <c r="K173" i="2"/>
  <c r="K166" i="2"/>
  <c r="K160" i="2"/>
  <c r="K153" i="2"/>
  <c r="K106" i="2"/>
  <c r="K99" i="2"/>
  <c r="D99" i="2" s="1"/>
  <c r="K94" i="2"/>
  <c r="K88" i="2"/>
  <c r="K86" i="2"/>
  <c r="K80" i="2"/>
  <c r="K53" i="2"/>
  <c r="D53" i="2" s="1"/>
  <c r="K59" i="2"/>
  <c r="K65" i="2"/>
  <c r="K33" i="2"/>
  <c r="K29" i="2"/>
  <c r="K25" i="2"/>
  <c r="K40" i="2" s="1"/>
  <c r="K48" i="2"/>
  <c r="K41" i="2"/>
  <c r="K52" i="2" s="1"/>
  <c r="K19" i="2"/>
  <c r="K16" i="2"/>
  <c r="K14" i="2"/>
  <c r="K6" i="2"/>
  <c r="D6" i="2" s="1"/>
  <c r="K70" i="2" l="1"/>
  <c r="D41" i="2"/>
  <c r="K302" i="2"/>
  <c r="K98" i="2"/>
  <c r="K24" i="2"/>
  <c r="K352" i="2"/>
  <c r="K283" i="2"/>
  <c r="K202" i="2"/>
  <c r="K152" i="2"/>
  <c r="P71" i="2"/>
  <c r="P72" i="2"/>
  <c r="P73" i="2"/>
  <c r="P74" i="2"/>
  <c r="P75" i="2"/>
  <c r="P76" i="2"/>
  <c r="P77" i="2"/>
  <c r="P78" i="2"/>
  <c r="P79" i="2"/>
  <c r="P344" i="2"/>
  <c r="P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M192" authorId="0" shapeId="0" xr:uid="{67DA1D8E-7817-4063-8998-CADFD3B8CF65}">
      <text>
        <r>
          <rPr>
            <sz val="9"/>
            <color indexed="81"/>
            <rFont val="Tahoma"/>
            <family val="2"/>
          </rPr>
          <t>A5</t>
        </r>
      </text>
    </comment>
    <comment ref="M193" authorId="0" shapeId="0" xr:uid="{9094B1DA-127B-4A90-B4BE-8A371198414A}">
      <text>
        <r>
          <rPr>
            <b/>
            <sz val="9"/>
            <color indexed="81"/>
            <rFont val="Tahoma"/>
            <family val="2"/>
          </rPr>
          <t>A6</t>
        </r>
      </text>
    </comment>
  </commentList>
</comments>
</file>

<file path=xl/sharedStrings.xml><?xml version="1.0" encoding="utf-8"?>
<sst xmlns="http://schemas.openxmlformats.org/spreadsheetml/2006/main" count="1262" uniqueCount="837">
  <si>
    <t>PROGRAMAS</t>
  </si>
  <si>
    <t>EJECUTOR</t>
  </si>
  <si>
    <t>COMPONENTES</t>
  </si>
  <si>
    <t>ACTIVIDADES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</si>
  <si>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</si>
  <si>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</si>
  <si>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</si>
  <si>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</si>
  <si>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</si>
  <si>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</si>
  <si>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</si>
  <si>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</si>
  <si>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</si>
  <si>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</si>
  <si>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</si>
  <si>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</si>
  <si>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CLAVE</t>
  </si>
  <si>
    <t>DESCRIPCION</t>
  </si>
  <si>
    <t>NOMBRE</t>
  </si>
  <si>
    <t>LINEA DE ACCION PMD</t>
  </si>
  <si>
    <t>META</t>
  </si>
  <si>
    <t>P1</t>
  </si>
  <si>
    <t>Huauchinango, Gobierno Abierto y Transparente</t>
  </si>
  <si>
    <t>C1</t>
  </si>
  <si>
    <t>C1.A1</t>
  </si>
  <si>
    <t>Realizar 25 acciones de comprobacion de pagos de nómina</t>
  </si>
  <si>
    <t>1.2.1.8</t>
  </si>
  <si>
    <t>C1.A2</t>
  </si>
  <si>
    <t>Implementar 1 mecanismos de consulta y/o participación ciudadana</t>
  </si>
  <si>
    <t>1.1.1.1</t>
  </si>
  <si>
    <t>C1.A3</t>
  </si>
  <si>
    <t xml:space="preserve">Promover  9 espacios de diálogo con la ciudadanía </t>
  </si>
  <si>
    <t>1.1.1.2.</t>
  </si>
  <si>
    <t>C1.A4</t>
  </si>
  <si>
    <t>Realizar 1 informe de gobierno ante la ciudadanía</t>
  </si>
  <si>
    <t>1.1.1.3
1.2.1.4</t>
  </si>
  <si>
    <t>C1.A5</t>
  </si>
  <si>
    <t>Implementar 4 registros de acciones de participación ciudadana para la toma de decisiones (COPLADEMUN)</t>
  </si>
  <si>
    <t>1.1.1.5.</t>
  </si>
  <si>
    <t>C1.A6</t>
  </si>
  <si>
    <t>Realizar 12 informes respecto de audiencias públicas y mesas de gestión llevadas a cabo con ciudadanos</t>
  </si>
  <si>
    <t>1.2.1.3</t>
  </si>
  <si>
    <t>C1.A7</t>
  </si>
  <si>
    <t>Realizar 4 informes de seguimiento  con actores a nivel federal y estatal para la gestión de proyectos estratégicos.</t>
  </si>
  <si>
    <t>1.2.1.5</t>
  </si>
  <si>
    <t>C1.A8</t>
  </si>
  <si>
    <t>Coordinar 12 reuniones de trabajo inter áreas del Gobierno Municipal</t>
  </si>
  <si>
    <t>1.2.1.6
1.2.1.7</t>
  </si>
  <si>
    <t>C2</t>
  </si>
  <si>
    <t>Acciones estratégicas relacionadas a los eventos y giras del Presidente Municipal realizadas</t>
  </si>
  <si>
    <t>C2.A1</t>
  </si>
  <si>
    <t>C2.A2</t>
  </si>
  <si>
    <t>Realizar 12 reportes de giras y eventos de la Presidencia Municipal</t>
  </si>
  <si>
    <t>1.2.1.2</t>
  </si>
  <si>
    <t>C3</t>
  </si>
  <si>
    <t>Información del quehacer gubernamental en diversos medios difundida</t>
  </si>
  <si>
    <t>C3.A1</t>
  </si>
  <si>
    <t>C3,A2</t>
  </si>
  <si>
    <t>Implementar 12 campañas integrales de comunicación institucional</t>
  </si>
  <si>
    <t>1.3.1.1.
1.3.1.2
1.3.1.5</t>
  </si>
  <si>
    <t>C3. A3.</t>
  </si>
  <si>
    <t>Generar 12 reportes de las  acciones de comunicación social bidireccional, en medios digitales oficiales</t>
  </si>
  <si>
    <t>1.3.1.3
1.3.1.4</t>
  </si>
  <si>
    <t>C4</t>
  </si>
  <si>
    <t>Estrategias para fomentar un Municipio abierto, implementadas</t>
  </si>
  <si>
    <t>C4.A1</t>
  </si>
  <si>
    <t>C4.A2</t>
  </si>
  <si>
    <t>Elaborar 12 reportes de atención y respuesta a solcitudes de acceso a la información</t>
  </si>
  <si>
    <t>1.4.1.1</t>
  </si>
  <si>
    <t>C4. A3</t>
  </si>
  <si>
    <t>Realizar 4 actualizaciones de información de interés público con base en lo establecido en las obligaciones de transparencia</t>
  </si>
  <si>
    <t>1.4.1.2
1.4.1.5</t>
  </si>
  <si>
    <t>C4. A4</t>
  </si>
  <si>
    <t>Realizar 4 capacitaciones a unidades administrativas sobre obligaciones de transparencia y protección de datos personales</t>
  </si>
  <si>
    <t>1.4.1.3</t>
  </si>
  <si>
    <t>C4.A5</t>
  </si>
  <si>
    <t>Celebrar 24 sesiones ordinarias del comité de transparencia</t>
  </si>
  <si>
    <t>1.4.1.4</t>
  </si>
  <si>
    <t>P2</t>
  </si>
  <si>
    <t>Huauchinango, Gobierno con Legalidad y Justicia Municipal</t>
  </si>
  <si>
    <t>Certeza jurídica a la ciudadanía proporcionada</t>
  </si>
  <si>
    <t>2.1.1.6</t>
  </si>
  <si>
    <t>Atender 10 procedimientos jurisdiccionales (bajo demanda)</t>
  </si>
  <si>
    <t>2.1.1.1
2.1.1.2
2.1.1.3</t>
  </si>
  <si>
    <t xml:space="preserve">Coordinar 12 mesas de trabajo con la Dirección jurídica </t>
  </si>
  <si>
    <t>2.1.1.4</t>
  </si>
  <si>
    <t>Realizar 2 acciones de promoción para la actualizacion normativa y jurídica del marco de actuación municipal</t>
  </si>
  <si>
    <t>2.1.1.5</t>
  </si>
  <si>
    <t>Acciones de operación en el Juzgado Calificador para el beneficio de la ciudadanía implementadas</t>
  </si>
  <si>
    <t>C2. A2</t>
  </si>
  <si>
    <t>Realizar 12 informes respecto de las  sanciones administrativas impuestas por faltas administrativa</t>
  </si>
  <si>
    <t>2.2.1.1
2.2.1.2</t>
  </si>
  <si>
    <t>C2. A3</t>
  </si>
  <si>
    <t>Consolidar 1 registro de control de faltas y sanciones administrativas</t>
  </si>
  <si>
    <t>2.2.1.3</t>
  </si>
  <si>
    <t>C2. A4</t>
  </si>
  <si>
    <t>Realizar 2 capacitaciones al personal de juzgado calificador</t>
  </si>
  <si>
    <t>2.2.1.4</t>
  </si>
  <si>
    <t>Acciones de verificación en el marco jurídico realizadas</t>
  </si>
  <si>
    <t>C3.A2</t>
  </si>
  <si>
    <t>Brindar 55 Asesorías Jurídicas relacionadas con acciones del Ayuntamiento ( bajo demanda)</t>
  </si>
  <si>
    <t>2.3.1.1</t>
  </si>
  <si>
    <t>C3.A3</t>
  </si>
  <si>
    <t>Realizar 2 proyectos de actualizacion normativa y jurídica del marco de actuación municipal</t>
  </si>
  <si>
    <t>2.3.1.2</t>
  </si>
  <si>
    <t>C3.A4</t>
  </si>
  <si>
    <t xml:space="preserve">Emitir 4 reportes de opiniones jurídicas y seguimiento en materia de derechos humanos realizadas </t>
  </si>
  <si>
    <t>2.3.1.3
2.3.1.4</t>
  </si>
  <si>
    <t>C3. A5</t>
  </si>
  <si>
    <t>Sustanciar 3 recursos de inconformidad presentados ante el ayuntamiento (bajo demanda)</t>
  </si>
  <si>
    <t>2.3.1.5</t>
  </si>
  <si>
    <t>C3. A6</t>
  </si>
  <si>
    <t>Atender 2 programas de regularización de tenencia de la tierra urbana del municipio</t>
  </si>
  <si>
    <t>2.1.1.4
2.3.1.3</t>
  </si>
  <si>
    <t>P3</t>
  </si>
  <si>
    <t>Huauchinango, Gobierno Democrático y Gobernanza Participativa</t>
  </si>
  <si>
    <t>Servicio de atención política, social e institucional para la gobernabilidad otorgada</t>
  </si>
  <si>
    <t>C1-A1</t>
  </si>
  <si>
    <t>3.1.1.9</t>
  </si>
  <si>
    <t>Realizar 4 informes trimestrales de los procesos de conciliación realizados.</t>
  </si>
  <si>
    <t>3.1.1.1
3.1.1.3</t>
  </si>
  <si>
    <t>Coordinar 2 procesos de conformación de Consejos de Participación Ciudadana.</t>
  </si>
  <si>
    <t>3.1.1.2
3.1.1.4</t>
  </si>
  <si>
    <t>Diseñar 1 protocolo de atención para comunidades indigenas y grupos vulnerables</t>
  </si>
  <si>
    <t>3.1.1.8</t>
  </si>
  <si>
    <t>Realizar 6 asesorias técnicas y/o capacitaciones a las autoridades auxiliares en materia de procedimientos administrativos.</t>
  </si>
  <si>
    <t xml:space="preserve">3.1.1.7 </t>
  </si>
  <si>
    <t>Coordinar 4 jornadas de atención integral en localidades del Municipio.</t>
  </si>
  <si>
    <t>3.1.1.5</t>
  </si>
  <si>
    <t>Realizar 6 visitas de supervisión y acompañamineto institucional a las autoridades auxiliares</t>
  </si>
  <si>
    <t>3.1.1.6</t>
  </si>
  <si>
    <t>Esquema de concertación en autoridades auxiliares y comunidades indígenas implementado</t>
  </si>
  <si>
    <t>Realizar 6 jornadas de capacitación sobre derechos de pueblos y comunidades indigenas.</t>
  </si>
  <si>
    <t>11.2.1.1
11.2.1.2</t>
  </si>
  <si>
    <t>Realizar 4 reportes trimestrales sobre la atención a ciudadanos de pueblos originarios en su lengua materna</t>
  </si>
  <si>
    <t>11.2.1.3
11.2.1.5</t>
  </si>
  <si>
    <t>Realizar 4 reportes trimestrales sobre las acciones para promover la celebración y/o conmemoración de festividades de pueblos originarios.</t>
  </si>
  <si>
    <t>11.2.1.4</t>
  </si>
  <si>
    <t>P4</t>
  </si>
  <si>
    <t xml:space="preserve">Huauchinango, Gobierno Integro y Confiable </t>
  </si>
  <si>
    <t xml:space="preserve">Estrategia de verificación y control de la Gestión Pública Municipal implementada </t>
  </si>
  <si>
    <t>Realizar 25 acciones de comprobacion de pagos de nomina</t>
  </si>
  <si>
    <t>4.1.1.6</t>
  </si>
  <si>
    <t>C1-A2</t>
  </si>
  <si>
    <t>Realizar 1 Programa Anual de Trabajo de los comites para la vigilancia de control interno.</t>
  </si>
  <si>
    <t>4.1.1.1
4.1.1.3</t>
  </si>
  <si>
    <t>C1-A3</t>
  </si>
  <si>
    <t>Realizar 20 atenciones y seguimientos a quejas que se presenten en la Contraloria Municipal y las que remite la Secretaria de Anticorrupción y Buen Gobierno, Federal, Estatal y CNDH.</t>
  </si>
  <si>
    <t>4.3.1.2</t>
  </si>
  <si>
    <t>C1-A4</t>
  </si>
  <si>
    <t>Realizar 41 revisiones a los expedientes de ingresos y egresos de las juntas Auxiliares e inspectorias.</t>
  </si>
  <si>
    <t>4.1.1.2</t>
  </si>
  <si>
    <t>C1-A5</t>
  </si>
  <si>
    <t>Realizar 5 auditorías internas a las unidades administrativas municipales conforme al Programa Anual de Auditoría.</t>
  </si>
  <si>
    <t>4.1.1.2
4.1.1.4</t>
  </si>
  <si>
    <t>C1-A6</t>
  </si>
  <si>
    <t>Realizar 4 capacitaciones dirigidas al personal municipal en materia de control interno, ética pública y responsabilidades administrativas.</t>
  </si>
  <si>
    <t>4.1.1.5</t>
  </si>
  <si>
    <t>Estrategia de Planeación, seguimiento y Evaluación implementada</t>
  </si>
  <si>
    <t>C2-A1</t>
  </si>
  <si>
    <t>C2-A2</t>
  </si>
  <si>
    <t>Implementar 1 Programa Anual de PbR-SED para dar seguimiento al cumplimiento de indicadores de desempeño municipales.</t>
  </si>
  <si>
    <t>4.2.1.1
4.2.1.3</t>
  </si>
  <si>
    <t>C2-A3</t>
  </si>
  <si>
    <t>Elaborar 1 informe anual de seguimiento y evaluación del Plan Municipal de Desarrollo, integrando los avances programáticos y de indicadores estratégicos.</t>
  </si>
  <si>
    <t>4.2.1.2</t>
  </si>
  <si>
    <t>C2.A4</t>
  </si>
  <si>
    <t>Implementar 1 Programa anual de seguimiento a los Aspectos Susceptibles de Mejora (ASM) derivados de evaluaciones externas e internas de programas presupuestarios municipales.</t>
  </si>
  <si>
    <t>4.2.1.4</t>
  </si>
  <si>
    <t>C2-A5</t>
  </si>
  <si>
    <t>Implementar 1 programa de actualización de normatividad interna.</t>
  </si>
  <si>
    <t>4.2.1.6</t>
  </si>
  <si>
    <t>C2-A6</t>
  </si>
  <si>
    <t>Realizar 4 capacitaciones a los servidores públicos de las unidades administrativas en planeación, construcción de indicadores y evaluación del desempeño.</t>
  </si>
  <si>
    <t>4.2.1.5</t>
  </si>
  <si>
    <t>Programa de acciones para disminuir la corrupción, implementada</t>
  </si>
  <si>
    <t>C3-A1</t>
  </si>
  <si>
    <t>C3-A2</t>
  </si>
  <si>
    <t>Elaborar 4 reportes trimestrales  de Investigación, seguimiento a denuncias, quejas y Sustanciación de Procedimientos de Presunta Responsabilidad Administrativa conforme a la normatividad vigente.</t>
  </si>
  <si>
    <t>4.3.1.1</t>
  </si>
  <si>
    <t>C3-A3</t>
  </si>
  <si>
    <t>Implementar 2 Acciones de vinculación  Interinstitucional en materia de combate a la corrupción con instancias estatales y federales.</t>
  </si>
  <si>
    <t>4.3.1.3</t>
  </si>
  <si>
    <t>C3-A4</t>
  </si>
  <si>
    <t>Implementar 1 Buzón Ciudadano de Denuncias contra servidores públicos, garantizando mecanismos de confidencialidad y protección a denunciantes.</t>
  </si>
  <si>
    <t>4.3.1.4</t>
  </si>
  <si>
    <t>C3-A5</t>
  </si>
  <si>
    <t>Implementar 1 Programa de Supervisión de los procesos de Entrega-Recepción de las Áreas Administrativas y Autoridades Auxiliares conforme a la normatividad vigente.</t>
  </si>
  <si>
    <t>4.3.1.5</t>
  </si>
  <si>
    <t>P5</t>
  </si>
  <si>
    <t xml:space="preserve"> Huauchinango, Gobierno con Certeza Jurídica y Gestión Pública Eficiente </t>
  </si>
  <si>
    <t>Asistencia legal y administrativa al Honorable Cabildo y sus comisiones otorgada</t>
  </si>
  <si>
    <t>5.1.1.1</t>
  </si>
  <si>
    <t>Generar 12 convocatorias a Sesiones de Cabildo Ordinarias</t>
  </si>
  <si>
    <t>5.6.1.1</t>
  </si>
  <si>
    <t>Elaborar 12 actas de Sesiones de Cabildo Ordinarias</t>
  </si>
  <si>
    <t>Realizar 12 listas de asistencia a Sesiones de Cabildo Ordinarias</t>
  </si>
  <si>
    <t>Realizar 3 reportes de seguimiento a los puntos de acuerdo celebrados en las Sesiones de Cabildo Ordinarias</t>
  </si>
  <si>
    <t>5.6.1.1
5.6.1.4</t>
  </si>
  <si>
    <t>Realizar 12 bitácoras de asignación de uso de vehículo a las diferentes unidades administrativas</t>
  </si>
  <si>
    <t>C1-A7</t>
  </si>
  <si>
    <t>Realizar 3 reportes de Constancias Expedidas.</t>
  </si>
  <si>
    <t>5.1.1.2</t>
  </si>
  <si>
    <t>C1-A8</t>
  </si>
  <si>
    <t>Realizar 10 reportes de Alistamiento de los Consciptos de la clase 2008 y Remisos</t>
  </si>
  <si>
    <t>5.1.1.3</t>
  </si>
  <si>
    <t>C1-A9</t>
  </si>
  <si>
    <t>Realizar 3 reportes de Certificaciones expedidas.</t>
  </si>
  <si>
    <t>5.1.1.4</t>
  </si>
  <si>
    <t>Estructura para la gestión, almacenamiento y uso del Archivo municipal implementada.</t>
  </si>
  <si>
    <t>Implementar 4 procesos trimestrales de organización y control documental.</t>
  </si>
  <si>
    <t>5.3.1.1</t>
  </si>
  <si>
    <t>Realizar 4 acciones de fortalecimiento en los archivos de trámite, concentración e histórico del Ayuntamiento.</t>
  </si>
  <si>
    <t>5.3.1.2</t>
  </si>
  <si>
    <t>C2-A4</t>
  </si>
  <si>
    <t>Implementar 1 programa de capacitación en gestión documental y administración de archivos dentro del SIA.</t>
  </si>
  <si>
    <t>5.3.1.3</t>
  </si>
  <si>
    <t>Implementar 1 programa de control-operación archivo de tramite en las áreas generadoras de información.</t>
  </si>
  <si>
    <t>5.3.1.4</t>
  </si>
  <si>
    <t>Realizar 1 sistema de registro y consulta archivistica.</t>
  </si>
  <si>
    <t>5.3.1.5</t>
  </si>
  <si>
    <t>Fortalecimiento del órgano colegiado para la gobernabilidad implementado</t>
  </si>
  <si>
    <t>Realizar 12 reportes sobre los dictámenes y puntos de acuerdo que se sometan al H. Cabildo para su presentación, discusión y aprobación correspondiente</t>
  </si>
  <si>
    <t>5.6.1.1
5.6.1.2
5.6.1.3</t>
  </si>
  <si>
    <t>Registro civil ordenado y fortalecido</t>
  </si>
  <si>
    <t>C4-A1</t>
  </si>
  <si>
    <t>C4-A2</t>
  </si>
  <si>
    <t>Implementar 1 protocolo de eficiencia, eficacia y tranparencia de atención al ciudadano en servicios registrales durante el ejercicio fiscal, la expedición oportuna de actas y certificaciones conforme a la normatividad vigente.</t>
  </si>
  <si>
    <t>5.4.1.1</t>
  </si>
  <si>
    <t>C4-A3</t>
  </si>
  <si>
    <t>Implementar 4 jornadas de atención a grupos vulnerables en registros de nacimiento y de matrimonio.</t>
  </si>
  <si>
    <t>5.4.1.2</t>
  </si>
  <si>
    <t>C4-A4</t>
  </si>
  <si>
    <t>Realizar 8 campañas itinerantes de orientación de servicios registrales en comunidades del municipio para ampliar la cobertura y acceso ciudadano.</t>
  </si>
  <si>
    <t>5.4.1.3</t>
  </si>
  <si>
    <t>C4-A5</t>
  </si>
  <si>
    <t>Realizar 2 capacitaciones dirigidas al personal del Registro Civil en procedimientos registrales y atención ciudadana.</t>
  </si>
  <si>
    <t>5.4.1.4</t>
  </si>
  <si>
    <t>C4-A6</t>
  </si>
  <si>
    <t>Implementar 1 sistema de digitalización de documentación soporte por cada acto registral para el archivo.</t>
  </si>
  <si>
    <t>5.4.1.5</t>
  </si>
  <si>
    <t>C5</t>
  </si>
  <si>
    <t>Acciones de atención, canalización y seguimiento a trámites y solicitudes administrativas realizadas</t>
  </si>
  <si>
    <t>C5-A1</t>
  </si>
  <si>
    <t>C5-A2</t>
  </si>
  <si>
    <t>Realizar 13 acciones de martes de atención ciudadana</t>
  </si>
  <si>
    <t>5.1.1.5</t>
  </si>
  <si>
    <t>C5-A3</t>
  </si>
  <si>
    <t>Elaborar 12 bitácoras mensuales de los permisos de ocupación otorgados en los 33  espacios públicos para actividades oficiales, sociales y culturales del H. Ayuntamiento</t>
  </si>
  <si>
    <t>C5-A4</t>
  </si>
  <si>
    <t>Elaborar 12 reportes de seguimiento al estado de trámites canalizados a las áreas administrativas correspondientes</t>
  </si>
  <si>
    <t>5.5.1.1
5.1.1.2
5.5.1.3</t>
  </si>
  <si>
    <t>P6</t>
  </si>
  <si>
    <t xml:space="preserve"> Huauchinango, Gobierno Eficiente y Responsable en el Manejo de los Recursos Públicos</t>
  </si>
  <si>
    <t>Administración de recursos Municipales controlada</t>
  </si>
  <si>
    <t>6.1.1.6</t>
  </si>
  <si>
    <t>Presentar 12 estados de situación financiera la Comisión de Patrimonio y Hacienda Pública Municipal para su dictaminación</t>
  </si>
  <si>
    <t>6.1.1.1
6.1.1.2
6.1.1.3
6.1.1.4</t>
  </si>
  <si>
    <t xml:space="preserve">Presentar 1 cuenta publica integrada a la Comisión de Patrimonio y Hacienda Publica Municipal para su aprobación </t>
  </si>
  <si>
    <t>Elaborar 1 proyecto Ley de Ingresos</t>
  </si>
  <si>
    <t>6.1.1.2</t>
  </si>
  <si>
    <t xml:space="preserve">Elaborar 1 proyecto de Presupuesto de Egresos </t>
  </si>
  <si>
    <t>Atender 3 auditorias internas y externas en materia adminsitrativa y/o financiera (bajo demanda)</t>
  </si>
  <si>
    <t>6.1.1.3</t>
  </si>
  <si>
    <t xml:space="preserve">Realizar 4 reportes de validar del soporte administrativo- financiero que sea requirido  </t>
  </si>
  <si>
    <t>6.11.5</t>
  </si>
  <si>
    <t>Gestión de sistemas informáticos administrados</t>
  </si>
  <si>
    <t>Generar 1 programa de administración mantenimiento a los Sistemas Informáticos, equipos y plataformas tecnológicas Institucionales del gobierno municipal</t>
  </si>
  <si>
    <t>6.6.1.1
6.6.1.2
6.6.1.3
6.6.1.4</t>
  </si>
  <si>
    <t>Atender 12 solicitudes realizadas por unidades adminsitrativas del municipio (bajo demanda)</t>
  </si>
  <si>
    <t>6.6.1.5</t>
  </si>
  <si>
    <t>Administración y actualización de la información de la base catastral realizada</t>
  </si>
  <si>
    <t xml:space="preserve">Realizar 12 reportes sobre el registro y actualización de bases de datos catastrales </t>
  </si>
  <si>
    <t>6.2.1.1
6.2.1.2</t>
  </si>
  <si>
    <t xml:space="preserve">Realizar 12 reportes respecto de las acciones de atención a unidades adminsitrativas </t>
  </si>
  <si>
    <t>6.2.1.3
6.2.1.5</t>
  </si>
  <si>
    <t>Implementar 1 programa de modernización catastral a efecto de fortalecer los ingressos municipales</t>
  </si>
  <si>
    <t>6.2.1.4</t>
  </si>
  <si>
    <t>C3.A5</t>
  </si>
  <si>
    <t>Realizar 4 reportes respecto el calculo del impuesto sobre bienes inmuebles (ISABI ).</t>
  </si>
  <si>
    <t>C3.A6</t>
  </si>
  <si>
    <t xml:space="preserve">Realizar 4 reportes respecto la atención de solicitudes de constancias de todo tramite ante la Dirección </t>
  </si>
  <si>
    <t>Factor humano del Gobierno Municipal administrado</t>
  </si>
  <si>
    <t xml:space="preserve">LLevar a cabo 1 programa de gestión, registro, ingreso, permanencia, control, capacitación, integración y seguimiento de expedientes  del capital humano en el municipio </t>
  </si>
  <si>
    <t>6.3.1.1.
6.3.1.2
6.3.1.4</t>
  </si>
  <si>
    <t>C4.A3</t>
  </si>
  <si>
    <t>Elaborar 25 procesos de pago de nomina</t>
  </si>
  <si>
    <t>6.3.1.3</t>
  </si>
  <si>
    <t>C4.A4</t>
  </si>
  <si>
    <t>Elaborar 25 reportes de pago de pensiones y jubiliaciones</t>
  </si>
  <si>
    <t>6.3.1.5</t>
  </si>
  <si>
    <t>Certeza en los procedimientos de adquisiciones y servicios garantizada</t>
  </si>
  <si>
    <t>Elaborar 4 informes de los procesos de adjudicación llevados a cabo en terminos de la normatividad aplicable</t>
  </si>
  <si>
    <t>6.5.1.1
6.5.1.2
6.5.1.3</t>
  </si>
  <si>
    <t>Elaborar 1 programa anual de adquisiciones de bienes y servicios</t>
  </si>
  <si>
    <t>6.5.1.4</t>
  </si>
  <si>
    <t>C5.A4</t>
  </si>
  <si>
    <t>Realizar 4 reportes de registro y actualización del padron de proveedores municipal</t>
  </si>
  <si>
    <t>6.5.1.6</t>
  </si>
  <si>
    <t>C5.A5</t>
  </si>
  <si>
    <t xml:space="preserve">Realizar 4  informes respecto la  atención a unidades administrativas </t>
  </si>
  <si>
    <t>6.5.1.5</t>
  </si>
  <si>
    <t>C6</t>
  </si>
  <si>
    <t>Sistema contable y presupuestal Municipal eficientado</t>
  </si>
  <si>
    <t>C6-A1</t>
  </si>
  <si>
    <t>C6-A2</t>
  </si>
  <si>
    <t>Realizar 12 reportes de actualización del sistema contable gubernamental</t>
  </si>
  <si>
    <t>6.11.1.1
6.11.1.4</t>
  </si>
  <si>
    <t>C6-A3</t>
  </si>
  <si>
    <t>Realizar 4 reportes de suficiencias presupuestarias requeridas  por las unidades administrativas (bajo demanda)</t>
  </si>
  <si>
    <t>6.11.1.2
6.11.1.5</t>
  </si>
  <si>
    <t>C6-A4</t>
  </si>
  <si>
    <t xml:space="preserve">Integrar y validar 13 estados de situación financiera de la hacienda pública municipal </t>
  </si>
  <si>
    <t>6.11.1.3</t>
  </si>
  <si>
    <t>C6.A5</t>
  </si>
  <si>
    <t>Elaborar 4 reportes de los formatos de la Ley de Disciplina Financiera (LDF) sistemas de evaluaciones de Armonización contable (SEVAC)</t>
  </si>
  <si>
    <t>C6.A6</t>
  </si>
  <si>
    <t>Realizar 7 reportes sobre las aportaciones realizadas al CERESO regional de Huauchinango</t>
  </si>
  <si>
    <t>6.12.1.1</t>
  </si>
  <si>
    <t>C6.A7</t>
  </si>
  <si>
    <t xml:space="preserve">Realizar 12 acciones de pago de impuestos, contribuciones y salarios derivados de la operación de seguridad pública </t>
  </si>
  <si>
    <t>6.12.1.2
6.12.1.4</t>
  </si>
  <si>
    <t>C6.A8</t>
  </si>
  <si>
    <t>Realizar 12 reportes sobre el pago de obligaciones financieras y/o deudas</t>
  </si>
  <si>
    <t>6.12.1.3</t>
  </si>
  <si>
    <t>C7</t>
  </si>
  <si>
    <t>Comercio Municipal regulado</t>
  </si>
  <si>
    <t>C7-A1</t>
  </si>
  <si>
    <t>C7-A2</t>
  </si>
  <si>
    <t>Elaborar 4 informes de actualización de padrón de comerciantes del municipio</t>
  </si>
  <si>
    <t>6.7.1.1.</t>
  </si>
  <si>
    <t>C7-A3</t>
  </si>
  <si>
    <t xml:space="preserve">Realizar 4 informes de atención a solicitudes realizadas por unidades adminsitrativas del municipio </t>
  </si>
  <si>
    <t>6.7.1.2</t>
  </si>
  <si>
    <t>C7-A4</t>
  </si>
  <si>
    <t>Generar 1 proyecto de optimización, de emisión, seguimiento y renovación de trámites y permisos comerciales para mejorar la eficiencia administrativa</t>
  </si>
  <si>
    <t>6.7.1.3</t>
  </si>
  <si>
    <t>C7-A5</t>
  </si>
  <si>
    <t>Realizar 23 acciones de supervisión a unidades económicas fijas y semifijas del municipio para verificar el cumplimiento a la normativa aplicable</t>
  </si>
  <si>
    <t>6.7.1.4
6.7.1.6</t>
  </si>
  <si>
    <t>C8</t>
  </si>
  <si>
    <t>Comercio local en espacios abiertos ordenado</t>
  </si>
  <si>
    <t>C8-A1</t>
  </si>
  <si>
    <t>C8-A2</t>
  </si>
  <si>
    <t>Elaborar 3 informes de actualización de padrón de tianguis y espacios abiertos del municipio</t>
  </si>
  <si>
    <t>6.8.1.1
6.8.1.2
6.8.1.3
6.8.1.4</t>
  </si>
  <si>
    <t>C8-A3</t>
  </si>
  <si>
    <t>Realizar 120 acciones de supervisión a comerciantes en tianguis y espacios abiertos, a fin de verificar el cumplimiento a la normativa aplicable</t>
  </si>
  <si>
    <t>6.8.1.3
6.8.1.4</t>
  </si>
  <si>
    <t>C8-A4</t>
  </si>
  <si>
    <t>Generar 2 proyecto de optimización, de emisión, seguimiento y renovación de trámites y permisos del comercio en via publica</t>
  </si>
  <si>
    <t>6.8.1.5</t>
  </si>
  <si>
    <t>C9</t>
  </si>
  <si>
    <t>Administración de mercados municipales realizada</t>
  </si>
  <si>
    <t>C9-A1</t>
  </si>
  <si>
    <t>C9-A2</t>
  </si>
  <si>
    <t>Elaborar 2 informes de modernización, actualización y seguimiento de padrón de locatarios de los mercados municipales</t>
  </si>
  <si>
    <t>6.9.1.1
6.9.1.3
6.9.1.4</t>
  </si>
  <si>
    <t>C9-A3</t>
  </si>
  <si>
    <t>Realizar 4 informes de atención a solicitudes realizadas por unidades adminsitrativas del municipio (bajo demanda)</t>
  </si>
  <si>
    <t>6.9.1.2</t>
  </si>
  <si>
    <t>C9-A4</t>
  </si>
  <si>
    <t>Realizar 4 reportes de atención a requerimientos realizados por los mercados municipales</t>
  </si>
  <si>
    <t>6.9.1.5</t>
  </si>
  <si>
    <t>C10</t>
  </si>
  <si>
    <t>Información patrimonial del Gobierno Municipal actualizada</t>
  </si>
  <si>
    <t>C10.A1</t>
  </si>
  <si>
    <t>C10.A2</t>
  </si>
  <si>
    <t>Implementar 1 programa de registro, actualización y gestión de inventario de bienes muebles e inmuebles municipales</t>
  </si>
  <si>
    <t>6.4.1.1
6.4.1.2
6.4.1.3
6.4.1.4</t>
  </si>
  <si>
    <t>C10. A3</t>
  </si>
  <si>
    <t xml:space="preserve">Realizar 4 reportes de atención a solicitudes realizadas por unidades administrativas del municipio </t>
  </si>
  <si>
    <t>6.4.1.5</t>
  </si>
  <si>
    <t>C11</t>
  </si>
  <si>
    <t>Mantenimiento del parque vehicular Municipal realizado</t>
  </si>
  <si>
    <t>C11-A1</t>
  </si>
  <si>
    <t>C11.A2</t>
  </si>
  <si>
    <t>Realizar 2 reportes  fisicos y digitales respecto de la integración de expedientes unitarios del control de mantenimiento vehicular respecto.</t>
  </si>
  <si>
    <t>6.10.1.1
6.10.1.2
6.10.1.3
6.10.1.4</t>
  </si>
  <si>
    <t>C11.A3</t>
  </si>
  <si>
    <t>Elaborar reportes 4  de atención a solicitudes de mantenimiento preventivo y correctivo al parque vehicular requerido por las unidades administrtivas municipales</t>
  </si>
  <si>
    <t>6.10.1.5</t>
  </si>
  <si>
    <t>P7</t>
  </si>
  <si>
    <t xml:space="preserve">Huauchinango, Gobierno que Construye Paz y Seguridad Ciudadana </t>
  </si>
  <si>
    <t>Política de seguridad pública Municipal fortalecida</t>
  </si>
  <si>
    <t>7.1.1.6</t>
  </si>
  <si>
    <t xml:space="preserve">Realizar 12 solicitudes administrativas ordinarias </t>
  </si>
  <si>
    <t xml:space="preserve">Ejecutar  365 acciones para salvaguardar el patrimonio e integridad de las personas </t>
  </si>
  <si>
    <t>7.1.1.1
7.1.1.3</t>
  </si>
  <si>
    <t>Difundir 1 convocatoria para el reclutamiento del personal de nuevo ingreso</t>
  </si>
  <si>
    <t>7.1.1.2
7.1.1.4</t>
  </si>
  <si>
    <t>Realizar 1 gestión ante el C5 para la evaluación de control y confianza para el nuevo ingreso y permanencia, la inscripción en el registro nacional de personas de seguridad pública y el certificado unico policial</t>
  </si>
  <si>
    <t>7.1.1.2
7.1.1.4
7.2.1.14</t>
  </si>
  <si>
    <t>Realizar 2 gestiones ante el C5, de credencialización para portacion de armas de fuego de los elementos de seguridad pública</t>
  </si>
  <si>
    <t>7.1.1.2
7.1.1.4
7.2.1.16</t>
  </si>
  <si>
    <t>Gestionar 1 programa de capacitaciones iniciales, de permanecia y especialiazadas en favor de los elementos de seguridad pública, ante la Universidad de las Ciencias Policiales y de Seguridad</t>
  </si>
  <si>
    <t>7.1.1.5
7.2.1.4</t>
  </si>
  <si>
    <t>Atención a las personas privadas de su libertad atendida</t>
  </si>
  <si>
    <t xml:space="preserve">Brindar 24 acciones integrales en favor de las personas privadas de su libertad </t>
  </si>
  <si>
    <t>7.7.1.1
7.7.1.2
7.7.1.3</t>
  </si>
  <si>
    <t>7.7.1.1
7.7.1.3</t>
  </si>
  <si>
    <t>Impartir 480 acciones relacionadas con platicas, conferencias, circulos de lectura y talleres a las personas privadas de la libertad</t>
  </si>
  <si>
    <t>7.7.1.2
7.7.1.3</t>
  </si>
  <si>
    <t>Realizar 36 cursos de capacitación en temas generales en favor de las personas privadas de la libertad</t>
  </si>
  <si>
    <t>7.7.1.2</t>
  </si>
  <si>
    <t>Realizar 48 cursos de capacitación en protocolos especializados en favor del personal de custodia del CERESO Regional</t>
  </si>
  <si>
    <t>7.7.1.5</t>
  </si>
  <si>
    <t>Estrategias de seguridad ciudadana implementadas</t>
  </si>
  <si>
    <t>Realizar 3,580 programas de patrullaje preventivo de seguridad y vigilancia</t>
  </si>
  <si>
    <t>7.2.1.2</t>
  </si>
  <si>
    <t>Realizar 24 reuniones con presidentes y comités de vigilancia vecinal para prevenir la incidencia delictiva por colonias</t>
  </si>
  <si>
    <t>7.2.1.15</t>
  </si>
  <si>
    <t>Realizar 180 operativos preventivos en coordinación con los tres ordenes de gobierno</t>
  </si>
  <si>
    <t xml:space="preserve">Realizar 12 diagnóstico para identificar zonas de alta incidencia delictiva </t>
  </si>
  <si>
    <t>7.2.1.1</t>
  </si>
  <si>
    <t>C3-A6</t>
  </si>
  <si>
    <t>Elaborar 12 plan de intervención específico en zonas de alta incidencia delictiva</t>
  </si>
  <si>
    <t>7.2.1.2
7.2.1.3
7.2.1.7</t>
  </si>
  <si>
    <t>C3-A7</t>
  </si>
  <si>
    <t>Realizar 1 equipamiento a las instalaciones de la Dir. de Operación Policial</t>
  </si>
  <si>
    <t>7.2.1.13</t>
  </si>
  <si>
    <t>Fortalecimiento de la gestión integral de riesgos y respuesta ante emergencias realizado</t>
  </si>
  <si>
    <t xml:space="preserve">Realizar 12 informes de inspección de riesgos (Programa Interno de Protección Civil, comercio seguro, construcción, escrituración, validación de inspección, entre otros) </t>
  </si>
  <si>
    <t>7.5.1.4</t>
  </si>
  <si>
    <t>Realizar 2 Revisiónes de unidades repartidoras de gas LP</t>
  </si>
  <si>
    <t>7.5.1.3</t>
  </si>
  <si>
    <t xml:space="preserve"> Implementar 3 Planes Estrategicos para atencion de riesgos naturales, temporadas vacacionales y eventos masivos</t>
  </si>
  <si>
    <t>Realizar 12  Capacitaciones a Instituciones educativas, comercios, dependencias gubernamentales y ciudadanía en general sobre como actuar ante situaciones de emergencia (Bajo demanda)</t>
  </si>
  <si>
    <t>7.5.1.2
7.5.1.3</t>
  </si>
  <si>
    <t xml:space="preserve">Realizar 4 campañas de sensibilización con el objetivo de fomentar la cultura de prevención </t>
  </si>
  <si>
    <t>C4-A7</t>
  </si>
  <si>
    <t>Gestionar 1 Atlas de Riesgos</t>
  </si>
  <si>
    <t>7.5.1.1</t>
  </si>
  <si>
    <t>Acciones de regulación, prevención y educación vial realizadas</t>
  </si>
  <si>
    <t>Realizar 365 Informes de Acciones para el ordenamiento vial en la vía pública, mediante la Aplicación de la Legislación Municipal.</t>
  </si>
  <si>
    <t>7.4.1..1
7.4.1.4</t>
  </si>
  <si>
    <t>Realizar 36 campañas educativas para promover el respeto a las normas de tránsito y la prevención de accidentes</t>
  </si>
  <si>
    <t>7.4.1.2
7.4.1.5</t>
  </si>
  <si>
    <t>Realizar 48 operativos periódicos para detectar y sancionar conductas de riesgo</t>
  </si>
  <si>
    <t>7.4.1.3</t>
  </si>
  <si>
    <t>Regulación y supervisión del espacio público destinado a estacionamiento aplicada</t>
  </si>
  <si>
    <t>Realizar  307 acciones de supervision y ordenamiento vial del espacio público destinado al estacionamiento rotativo</t>
  </si>
  <si>
    <t>7.8.1.1
7.8.1.2
7.8.1.3</t>
  </si>
  <si>
    <t xml:space="preserve">Programar 307 acciones con tránsito municipal </t>
  </si>
  <si>
    <t>7.8.1.4</t>
  </si>
  <si>
    <t>Promover 24 campaña de información sobre el uso adecuado del estacionamiento en el espacio público</t>
  </si>
  <si>
    <t>7.8.1.5</t>
  </si>
  <si>
    <t>Estrategias de prevención social desarrolladas</t>
  </si>
  <si>
    <t xml:space="preserve">Realizar 12 reuniones de comité vecinal de seguridad </t>
  </si>
  <si>
    <t>7.3.1.3</t>
  </si>
  <si>
    <t>Realizar 47 talleres preventivos en instituciones educativas y espacios comunitarios</t>
  </si>
  <si>
    <t>7.3.1.2</t>
  </si>
  <si>
    <t>Vincular 12 acciones de proximidad social</t>
  </si>
  <si>
    <t>7.3.1.4</t>
  </si>
  <si>
    <t xml:space="preserve">Realizar 17 campañas comunitarias de prevención social de la violencia y la delincuencia </t>
  </si>
  <si>
    <t>7.3.1.1.</t>
  </si>
  <si>
    <t>Realizar 14 jormadas de coordinación y seguimiento a las politicas programas, proyectos y acciones de prevención de la violencia y la delincuencia</t>
  </si>
  <si>
    <t>7.3.1.5</t>
  </si>
  <si>
    <t>Política Municipal en materia de género aplicada</t>
  </si>
  <si>
    <t>Elaborar 12 informes sobre el cumplimiento a las medidas de protección dictadas por una autoridad judicial o ministerial.</t>
  </si>
  <si>
    <t>7.6.1.6</t>
  </si>
  <si>
    <t>Brindar 1095 apoyos psicológicos y orientación jurídica para mujeres víctimas de violencia de primer contacto (Bajo demanda)</t>
  </si>
  <si>
    <t>7.6.1.1.</t>
  </si>
  <si>
    <t>Realizar 12 Operativos con perspectiva de género</t>
  </si>
  <si>
    <t>7.6.1.5
7.6.1.6</t>
  </si>
  <si>
    <t>C8-A5</t>
  </si>
  <si>
    <t>Otorgar 4 capacitaciones al personal administrativo y operativo policial en materia de protocolos de actuación en casos de violencia familiar y de género</t>
  </si>
  <si>
    <t>7.6.1.7</t>
  </si>
  <si>
    <t>C8-A6</t>
  </si>
  <si>
    <t>Realizar 365 patrullamientos de seguridad protección y vigilancia a víctimas del delito</t>
  </si>
  <si>
    <t>7.6.1.3</t>
  </si>
  <si>
    <t>C8-A7</t>
  </si>
  <si>
    <t>Generar 10 redes de apoyo comunitario para prevenir  la exclusión social y promover la integración</t>
  </si>
  <si>
    <t>7.6.1.4
7.6.1.6
7.6.1.7</t>
  </si>
  <si>
    <t>C8-A8</t>
  </si>
  <si>
    <t>Realizar 2 Jornadas a favor de las mujeres</t>
  </si>
  <si>
    <t>7.6.1.1
7.6.1.3
7.6.1.2
7.6.1.6</t>
  </si>
  <si>
    <t>P8</t>
  </si>
  <si>
    <t xml:space="preserve"> Huauchinango, Gobierno con Justicia Social y Desarrollo Comunitario para Todos</t>
  </si>
  <si>
    <t>Atención de la política social en materia de rezago social aplicada</t>
  </si>
  <si>
    <t>8.1.1.4</t>
  </si>
  <si>
    <t>Realizar 2 acciones de verificación documental y/o visitas de campo para conformación de expedientes.</t>
  </si>
  <si>
    <t>8.1.1.2</t>
  </si>
  <si>
    <t>Difundir 5 programas conforme a convocatorias estatales. (bajo demanda)</t>
  </si>
  <si>
    <t>8.1.1.3</t>
  </si>
  <si>
    <t>Gestionar 1 solicitudes/gestiones de inclusión de programas sociales ante la Secretaría de Infraestructura y Gestión Integral del Municipio de Huauchinango.</t>
  </si>
  <si>
    <t>Elaborar 1 reglas de operación de los programas sociales</t>
  </si>
  <si>
    <t>Difundir 1 convocatorias de progrmas sociales</t>
  </si>
  <si>
    <t>Acciones para el desarrollo cultural y artístico Municipal promovidas</t>
  </si>
  <si>
    <t>Coordinar 1 Feria de las Flores</t>
  </si>
  <si>
    <t>8.3.1.6</t>
  </si>
  <si>
    <t>Elaborar 1 Programa Anual de Actividades Culturales y Artísticas</t>
  </si>
  <si>
    <t>8.5.1.1</t>
  </si>
  <si>
    <t>Ejecutar 3 actividades culturales y artísticas itinerantes en localidades y juntas auxiliares</t>
  </si>
  <si>
    <t>8.5.1.2</t>
  </si>
  <si>
    <t>8.5.1.3</t>
  </si>
  <si>
    <t>Articular 2 espacios culturales municipales</t>
  </si>
  <si>
    <t>8.5.1.4</t>
  </si>
  <si>
    <t>C2-A7</t>
  </si>
  <si>
    <t>Implementar 1 estrategia de difusión cultural municipal</t>
  </si>
  <si>
    <t>8.5.1.5</t>
  </si>
  <si>
    <t>C2-A8</t>
  </si>
  <si>
    <t>Implementar 4 mecanismos de apoyo, promoción y exhibición para creadoras, creadores y grupos artísticos locales</t>
  </si>
  <si>
    <t>8.5.1.6</t>
  </si>
  <si>
    <t>C2-A9</t>
  </si>
  <si>
    <t>Realizar 12 acciones de registro, documentación, preservación y difusión del patrimonio cultural inmaterial</t>
  </si>
  <si>
    <t>8.5.1.7</t>
  </si>
  <si>
    <t>C2-A10</t>
  </si>
  <si>
    <t>Coordinar 12 acciones interinstitucionales para la agenda cultural municipal</t>
  </si>
  <si>
    <t>8.5.1.8</t>
  </si>
  <si>
    <t>Impulso al desarrollo turísitico Municipal sostenible, equitativo e inclusivo generado</t>
  </si>
  <si>
    <t>Elaborar 1 Plan de Desarrollo Turístico Sostenible Municipal.</t>
  </si>
  <si>
    <t>8.3.1.1</t>
  </si>
  <si>
    <t>Diseñar  5 rutas y circuitos turísticos que conecten las zonas del municipio</t>
  </si>
  <si>
    <t>8.3.1.2</t>
  </si>
  <si>
    <t>Realizar 5 mecanismos de participación comunitaria para la planeación turística</t>
  </si>
  <si>
    <t>8.3.1.3</t>
  </si>
  <si>
    <t>Impartir 10 capacitaciones a la población local para su integración a la cadena turística</t>
  </si>
  <si>
    <t>8.3.1.4</t>
  </si>
  <si>
    <t>Gestionar 1 alianzas e inversiones responsables para infraestructura turística</t>
  </si>
  <si>
    <t>8.3.1.5</t>
  </si>
  <si>
    <t>C3-A8</t>
  </si>
  <si>
    <t>Elaborar 2 guías digitales para la planificación de los visitantes</t>
  </si>
  <si>
    <t>8.3.1.7</t>
  </si>
  <si>
    <t>Coordinación institucional en materia de educación para el Municipio generada</t>
  </si>
  <si>
    <t>Coordinar 24 jornadas educativas con el INEA e instancias estatales para alfabetización y conclusión de primaria, secundaria y preparatoria abierta</t>
  </si>
  <si>
    <t>8.6.1.1</t>
  </si>
  <si>
    <t>Coordinar 28 jornadas de orientación vocacional</t>
  </si>
  <si>
    <t>8.6.1.3</t>
  </si>
  <si>
    <t>Implementar 9 acciones educativas con enfoque de inclusión y pertinencia cultural (desfiles)</t>
  </si>
  <si>
    <t>8.6.1.4</t>
  </si>
  <si>
    <t>Coadyuvar 8 acciones de mantenimiento, equipamiento y mejora de infraestructura educativa</t>
  </si>
  <si>
    <t>8.6.1.5</t>
  </si>
  <si>
    <t>Implementar 4 acciones para favorecer el ingreso, permanencia y prevención del abandono escolar</t>
  </si>
  <si>
    <t>8.6.1.6</t>
  </si>
  <si>
    <t>Difundir 3 acciones de programas de becas escolares para estudiantes en situación de vulnerabilidad.</t>
  </si>
  <si>
    <t>8.6.1.8</t>
  </si>
  <si>
    <t>C4-A8</t>
  </si>
  <si>
    <t>Realizar 46 acciones de fomento a la lectura a través de las bibliotecas públicas municipales.</t>
  </si>
  <si>
    <t>8.6.1.9</t>
  </si>
  <si>
    <t>C4-A9</t>
  </si>
  <si>
    <t>Coordinar 8 Ceremonias Civicas de las Diferentes Fechas Conmemorativas</t>
  </si>
  <si>
    <t>C4-A10</t>
  </si>
  <si>
    <t xml:space="preserve">Coordinar 1 ferias profesiográficas </t>
  </si>
  <si>
    <t>C4-A11</t>
  </si>
  <si>
    <t>Coordinar 1 Festejos relacionados al Área ( Dia del maestro)</t>
  </si>
  <si>
    <t>Acciones para la atención del sistema de salud en primer nivel atendidas</t>
  </si>
  <si>
    <t xml:space="preserve">Otorgar 2020 consultas médica a poblacion solicitante garantizando el acceso a servicios basicos de atencion medica </t>
  </si>
  <si>
    <t>8.4.1.1</t>
  </si>
  <si>
    <t>Implementar 1 bitacora de registro de referencia y seguimiento de casos.</t>
  </si>
  <si>
    <t>8.4.1.2 
 8.4.1.7</t>
  </si>
  <si>
    <t>Realizar 47 visitas con brigada médica itinerante.</t>
  </si>
  <si>
    <t>8.4.1.4 
8.4.1.6
8.4.1.12</t>
  </si>
  <si>
    <t>C5-A5</t>
  </si>
  <si>
    <t>8.4.1.5</t>
  </si>
  <si>
    <t>C5-A6</t>
  </si>
  <si>
    <t>Realizar 4 actividades de detección y control de enfermedades crónicas.</t>
  </si>
  <si>
    <t>8.4.1.3</t>
  </si>
  <si>
    <t>C5-A7</t>
  </si>
  <si>
    <t>Realizar 11 jornadas educativas de promoción, prevención y atención en brigadas, escuelas y comunidades.</t>
  </si>
  <si>
    <t>8.4.1.8
8.4.1.9
8.4.1.13</t>
  </si>
  <si>
    <t>C5-A8</t>
  </si>
  <si>
    <t>Impartir 108 platicas de promoción para la prevención de riesgos prioritarios (adicciones, violencia, salud mental y autocuidado)</t>
  </si>
  <si>
    <t>8.4.1.10
8.4.1.11</t>
  </si>
  <si>
    <t>Atención de carencias sociales mediante obras y acciones de programas realizada</t>
  </si>
  <si>
    <t>Realizar 42 diagnósticos de focalización para identificar y priorizar hogares con carencias sociales por localidad.</t>
  </si>
  <si>
    <t>8.1.1.1</t>
  </si>
  <si>
    <t>Gestionar 1 apoyos de mejoramiento de vivienda por siniestro.</t>
  </si>
  <si>
    <t>Esquema integral de acompañamiento al productor implementado</t>
  </si>
  <si>
    <t>Realizar 50 asesorías técnicas periódicas en comunidades rurales</t>
  </si>
  <si>
    <t>8.2.1.1 
8.2.1.3</t>
  </si>
  <si>
    <t>Impartir 10 capacitaciones teórico–prácticas a productores</t>
  </si>
  <si>
    <t>8.2.1.2</t>
  </si>
  <si>
    <t>Realizar 2 acciones de vinculación a productores con programas estatales y federales (bajo demanda)</t>
  </si>
  <si>
    <t>8.2.1.4</t>
  </si>
  <si>
    <t>Organizar 12 encuentros de intercambio técnico entre productores</t>
  </si>
  <si>
    <t>8.2.1.5</t>
  </si>
  <si>
    <t>C7-A6</t>
  </si>
  <si>
    <t>Integrar 500 expedientes de personas productoras interesadas en los programas de la SADR del Estado de Puebla</t>
  </si>
  <si>
    <t>Acciones integrales en materia de género e igualdad sustantiva de prevención, capacitación sensibilización y canalización, realizadas</t>
  </si>
  <si>
    <t>Realizar 4 Jornadas comunitarias de sensibilización  y atención para promover el trato igualitario y la prevención de violencias en cabecera y localidades del municipio.</t>
  </si>
  <si>
    <t>11.1.1.1 
11.1.1.6</t>
  </si>
  <si>
    <t>Impartir 19 pláticas y talleres con mujeres, hombres, adolescentes y liderazgos comunitarios sobre igualdad de género, prevención de violencia y nuevas masculinidades.</t>
  </si>
  <si>
    <t>11.1.1.2</t>
  </si>
  <si>
    <t>Impartir 2 capacitaciones de empoderamiento a mujeres del municipio.</t>
  </si>
  <si>
    <t>Impartir 10 capacitaciones a servidores públicos en igualdad sustantiva, atención inicial y canalización de casos de violencia.</t>
  </si>
  <si>
    <t>11.1.1.4</t>
  </si>
  <si>
    <t>Actualizar 1 ruta municipal de canalización con instancias de salud, justicia y protección, con criterios, responsables y directorio de contactos definidos.</t>
  </si>
  <si>
    <t>11.1.1.5</t>
  </si>
  <si>
    <t>Implementar 2 políticas públicas municipales para atender recomendaciones derivadas de la DAVGM</t>
  </si>
  <si>
    <t>11.1.1.7</t>
  </si>
  <si>
    <t>Implementar 1 Sistema Municipal para Prevenir, Atender, Sancionar y Erradicar la violencia contra las mujeres</t>
  </si>
  <si>
    <t>11.1.1.8</t>
  </si>
  <si>
    <t>Atención del programa integral de la juventud Municipal realizada</t>
  </si>
  <si>
    <t>Implementar 1 programa municipal integral de juventudes</t>
  </si>
  <si>
    <t>8.7.1.1.</t>
  </si>
  <si>
    <t>Impartir 12 acciones de orientación vocacional, orientación juridica, capacitación para el trabajo y vinculación con oferta educativa y productiva</t>
  </si>
  <si>
    <t>8.7.1.2</t>
  </si>
  <si>
    <t>Realizar 12 acciones focalizadas de prevención de riesgos psicosociales</t>
  </si>
  <si>
    <t>8.7.1.3</t>
  </si>
  <si>
    <t>C9-A5</t>
  </si>
  <si>
    <t xml:space="preserve">Coordinar 40 acciones de participación juvenil </t>
  </si>
  <si>
    <t>C9-A6</t>
  </si>
  <si>
    <t>Implementar 12 cursos de habilidades blandas, habilidades digitales, emprendimiento, desarrollo personal, etc.</t>
  </si>
  <si>
    <t>Fomento del deporte y recreación en el territorio Municipal realizado</t>
  </si>
  <si>
    <t>C10-A1</t>
  </si>
  <si>
    <t>C10-A2</t>
  </si>
  <si>
    <t>Realizar 2 acciones de rehabilitación, mantenimiento y equipamiento de infraestructura deportiva y recreativa</t>
  </si>
  <si>
    <t>8.7.1.4</t>
  </si>
  <si>
    <t>C10-A3</t>
  </si>
  <si>
    <t>Implementar 10 acciones permanentes de activación física y deporte comunitario</t>
  </si>
  <si>
    <t>8.7.1.5</t>
  </si>
  <si>
    <t>C10-A4</t>
  </si>
  <si>
    <t>Coordinar 3 competencias deportivas</t>
  </si>
  <si>
    <t>8.7.1.6</t>
  </si>
  <si>
    <t>C10-A5</t>
  </si>
  <si>
    <t>Coordinar 4 escuelas deportivas</t>
  </si>
  <si>
    <t>C10-A6</t>
  </si>
  <si>
    <t xml:space="preserve">Realizar  2 Capacitaciones a coordinadores y entrenadores deportivos </t>
  </si>
  <si>
    <t>C10-A7</t>
  </si>
  <si>
    <t xml:space="preserve">Promover 1 programas de deporte incluyente </t>
  </si>
  <si>
    <t>C10-A8</t>
  </si>
  <si>
    <t>Realizar 3 campañas de detección de talentos deportivos y canalización a instancias estatales</t>
  </si>
  <si>
    <t>C10-A9</t>
  </si>
  <si>
    <t xml:space="preserve">Gestionar 3 intercambios deportivos con otros municipios y estados </t>
  </si>
  <si>
    <t>Coordinación de acciones para el desarrollo de las juventudes, deportes y recreación realizada</t>
  </si>
  <si>
    <t>C11-A2</t>
  </si>
  <si>
    <t>Elaborar 1 diagnostico municipal de juventudes</t>
  </si>
  <si>
    <t>8.7.1.1</t>
  </si>
  <si>
    <t>C11-A3</t>
  </si>
  <si>
    <t>Crear 1 padrón municipal de Jóvenes beneficiarios</t>
  </si>
  <si>
    <t>C11-A4</t>
  </si>
  <si>
    <t>Establecer 3 convenios con instituciones educativas y organizaciones civiles</t>
  </si>
  <si>
    <t>C11-A5</t>
  </si>
  <si>
    <t>Organizar 3 eventos culturales, artísticos y deportivos como estrategia preventiva</t>
  </si>
  <si>
    <t>P9</t>
  </si>
  <si>
    <t>Bienestar Integral Para las Familias</t>
  </si>
  <si>
    <t>Coordinación institucional para el bienestar integral de las familias realizada</t>
  </si>
  <si>
    <t>9.1.1.4</t>
  </si>
  <si>
    <t>Brindar 720 atenciones en el consultorio médico y/o visita domiciliaria (Bajo demanda)</t>
  </si>
  <si>
    <t>9.1.1.1 
 9.1.1.2
9.3.1.5
9.3.1.7</t>
  </si>
  <si>
    <t>Realizar 12 gestiones de apoyo del Subprograma Atención a Población en Condiciones de Emergencia (APCE)</t>
  </si>
  <si>
    <t>9.3.1.1</t>
  </si>
  <si>
    <t>Realizar 12 informes de la atención jurídica brindada a la población vulnerable</t>
  </si>
  <si>
    <t>9.2.1.2
9.3.1.6</t>
  </si>
  <si>
    <t>Gestionar 8 abastecimiento de medicamentos e insumos básicos para la atención ambulatoria</t>
  </si>
  <si>
    <t>9.1.1.3</t>
  </si>
  <si>
    <t>Acciones de fortalecimiento familiar y comunitario para mejorar el bienestar de la población vulnerable realizadas</t>
  </si>
  <si>
    <t>Brindar 3600 servicios de rehabilitación e inclusión social para personas en situación de vulnerabilidad (Bajo demanda)</t>
  </si>
  <si>
    <t>9.2.1.1</t>
  </si>
  <si>
    <t>Elaborar 12 reportes de los apoyos y ayudas entregados en materia de asistencia social a personas de bajos recurso en condición de vulnerabilida (Bajo demanda)</t>
  </si>
  <si>
    <t>9.2.1.2</t>
  </si>
  <si>
    <t>Realizar 11 jornadas de atención integral comunitaria, en coordinación con instancias competentes.</t>
  </si>
  <si>
    <t>9.2.1.3</t>
  </si>
  <si>
    <t xml:space="preserve">Elaborar 12 informes de la atención psicológica a la población en general </t>
  </si>
  <si>
    <t>9.2.1.2
9.3.1.1</t>
  </si>
  <si>
    <t>Brindar 48 servicios de atención prehospitalaria, traslados programados y de emergencia en ambulancia (Bajo demanda)</t>
  </si>
  <si>
    <t>9.1.1.2</t>
  </si>
  <si>
    <t>Realizar 12 reportes de acciones de capacitación a la población vulnerable para su vinculación al sector productivo</t>
  </si>
  <si>
    <t>Realizar 12 reportes de la atención integral a personas adultas mayores en la Estancia de día</t>
  </si>
  <si>
    <t>Realizar  9 eventos sociales, recreativos y culturales familiares para fortalecer la convivencia y el bienestar comunitario.</t>
  </si>
  <si>
    <t>9.2.1.4</t>
  </si>
  <si>
    <t>Acciones focalizadas de protección social a fin de reducir la exclusión social realizadas</t>
  </si>
  <si>
    <t>Realizar 12 donaciones de pelucas oncológicas y prótesis mamarias artesanales para apoyar a mujeres y niñas con cáncer (Bajo demanda)</t>
  </si>
  <si>
    <t>9.3.1.2</t>
  </si>
  <si>
    <t>Realizar 3 informes de las entregas de los programas estatales alimentarios para grupos vulnerables</t>
  </si>
  <si>
    <t>9.3.1.3 
 9.3.1.4</t>
  </si>
  <si>
    <t>Realizar 192 acciones de colaboración con instancias jurídicas para salvaguardar los derechos de niñas, niños y adolecentes</t>
  </si>
  <si>
    <t>9.2.1.2
9.3.1.5
9.3.1.9</t>
  </si>
  <si>
    <t>Elaborar 12 reportes sobre los servicios que brinda el Alberge Huauchinango</t>
  </si>
  <si>
    <t xml:space="preserve">Realizar 12 reportes de los servicios integrales de atención a personas en situación de violencia y vulnerabilidad, a través de CLIPAM </t>
  </si>
  <si>
    <t>9.3.1.8
9.2.1.5</t>
  </si>
  <si>
    <t>P10</t>
  </si>
  <si>
    <t xml:space="preserve">Huauchinango, Gobierno Ordenado y con Desarrollo Integral </t>
  </si>
  <si>
    <t xml:space="preserve">Coordinación institucional para la planeación estratégica territorial, medio ambiente e infraestructura realizada </t>
  </si>
  <si>
    <t>10.1.1.15</t>
  </si>
  <si>
    <t>Organizar 4 reuniones de COPLADEMUN, para la correcta planeación y priorización de obras</t>
  </si>
  <si>
    <t>10.1.1.4
10.1.1.14</t>
  </si>
  <si>
    <t xml:space="preserve">Supervisión de acciones de ordenamiento territorial, infraestructura y servicios públicos realizada </t>
  </si>
  <si>
    <t>Planear 110 obras, acciones y actividades para el crecimiento, mejoramiento y conservación de los centros de población </t>
  </si>
  <si>
    <t>10.2.1.7
10.1.1.5
10.1.1.6
10.1.1.7
10.1.1.8
10.1.1.9
10.1.1.10
10.1.1.12
10.1.1.13
10.1.1.14</t>
  </si>
  <si>
    <t>Elaborar 140 expedientes unitarios de obras y acciones</t>
  </si>
  <si>
    <t>10.1.1.5
10.1.1.6
10.1.1.7
10.1.1.8
10.1.1.9
10.1.1.10
10.1.1.12
10.1.1.13
10.1.1.14</t>
  </si>
  <si>
    <t>Gestionar 52 pagos de obligaciones financieras, derechos y aprovechamientos y modernización de la administración.</t>
  </si>
  <si>
    <t>6.12.1.1
6.12.1.3</t>
  </si>
  <si>
    <t xml:space="preserve">Dar 1 manteniemiento a las instalaciones de los mercados municipales para dignificar la actividad comercial </t>
  </si>
  <si>
    <t>10.2.1.1</t>
  </si>
  <si>
    <t>Atender 2640  trámites relacionados con su propiedad y/o vivienda, con la extención de constancias y licencias (Bajo demanda)</t>
  </si>
  <si>
    <t>10.2.1.7</t>
  </si>
  <si>
    <t xml:space="preserve">Implementar 1 programa de capacitación y difusión interna para el personal municipal para fortalecer la correcta ejecución de acciones vinculadas al FAISMUN </t>
  </si>
  <si>
    <t>10.1.1.1</t>
  </si>
  <si>
    <t>Realizar 38 asambleas comunitarias en las localidades del municipio para identificar, priorizar y validar necesidades</t>
  </si>
  <si>
    <t>10.1.1.2</t>
  </si>
  <si>
    <t>Realizar 1 estrategia de  actualización del marco normativo municipal en materia de desarrollo urbano, ordenamiento territorial y medio ambiente.</t>
  </si>
  <si>
    <t>10.5.1.1</t>
  </si>
  <si>
    <t>Fortalecimiento de la capacidad operativa para el medio ambiente y bienestar animal implementado</t>
  </si>
  <si>
    <t>Participar en 5 acciones intergubernamentales y con el sector social y privado para la sustentabilidad mediante convenios, gestión de recursos y proyectos conjuntos de conservación, mitigación y adaptación al cambio climático</t>
  </si>
  <si>
    <t xml:space="preserve">10.5.1.7 </t>
  </si>
  <si>
    <t>Acciones de conservación, restauración y manejo sustentable de los recursos naturales implementadas.</t>
  </si>
  <si>
    <t>Reforestar 5,000 árboles con especies nativas,en paisajes forestales que han sido degradados</t>
  </si>
  <si>
    <t xml:space="preserve">10.5.1.2 </t>
  </si>
  <si>
    <t xml:space="preserve">Participar en 3 acciones de manejo integral del agua mediante campañas de uso eficiente, protección de manantiales y cuerpos de agua, reducción de fugas y coordinación, en coordinación ESAPAH </t>
  </si>
  <si>
    <t xml:space="preserve">10.5.1.3 </t>
  </si>
  <si>
    <t>Realizar 5 acciones de manejo y consevación de recursos naturales para impulsar una cultura ambiental en la población</t>
  </si>
  <si>
    <t>10.5.1.6</t>
  </si>
  <si>
    <t>Servicios de atención, protección y control poblacional animal otorgados a la población</t>
  </si>
  <si>
    <t xml:space="preserve">Realizar 10 jornadas de esterilización de perros y gatos </t>
  </si>
  <si>
    <t xml:space="preserve">10.4.1.1 </t>
  </si>
  <si>
    <t>Realizar 1 acompañamiento a la jornada municipal de vacunación antirrábica .</t>
  </si>
  <si>
    <t xml:space="preserve">10.4.1.2 </t>
  </si>
  <si>
    <t>Realizar 5  jornadas comunitarias acciones de desparasitación preventiva</t>
  </si>
  <si>
    <t xml:space="preserve">10.4.1.3 </t>
  </si>
  <si>
    <t>Gestionar 1 remodelación de las instalaciones para atender las necesidades médicas básicas de los seres sintientes y otra fauna del municipio</t>
  </si>
  <si>
    <t xml:space="preserve">Atender 4 reportes ciudadanos relacionados con maltrato, abandono o animales en situación de calle </t>
  </si>
  <si>
    <t xml:space="preserve">10.4.1.4 </t>
  </si>
  <si>
    <t>10.4.1.5</t>
  </si>
  <si>
    <t>Servicio de recolección, traslado y disposición final proporcionado</t>
  </si>
  <si>
    <t xml:space="preserve">Gestionar 1 construcción de un centro de transferencia de residuos sólidos urbanos para mejorar la eficiencia del manejo y traslado de RSU </t>
  </si>
  <si>
    <t xml:space="preserve">10.2.1.6 </t>
  </si>
  <si>
    <t>Gestionar 1 adquisición de vehículos recolectores de residuos sólidos urbanos para fortalecer la recolección y cobertura del servicio de limpia</t>
  </si>
  <si>
    <t xml:space="preserve">10.3.1.1 </t>
  </si>
  <si>
    <t xml:space="preserve">Realizar 2 dotaciones de equipo al personal del servicio de limpia para mejorar condiciones de trabajo y seguridad mediante dotación de herramientas y equipo de protección </t>
  </si>
  <si>
    <t xml:space="preserve">10.3.1.2 </t>
  </si>
  <si>
    <t>C6-A5</t>
  </si>
  <si>
    <t>Implementar 8 jornadas de rutas específicas para eventos extraordinarios, con rutas, frecuencias y cobertura definidas.</t>
  </si>
  <si>
    <t>10.6.1.4</t>
  </si>
  <si>
    <t>C6-A6</t>
  </si>
  <si>
    <t>Realizar 12 reportes de operación de la recolección y traslado de residuos sólidos urbanos no peligrosos mediante rutas programadas y cobertura territorial</t>
  </si>
  <si>
    <t xml:space="preserve">10.6.1.5 </t>
  </si>
  <si>
    <t>Servicios de operación y mantenimiento del alumbrado público proporcionado</t>
  </si>
  <si>
    <t>Realizar 12 mantenimientos correctivos y preventivos de luminarias</t>
  </si>
  <si>
    <t>10.2.1.4</t>
  </si>
  <si>
    <t>Servicios de sacrificio, faenado, e inspección sanitaria asegurando el abasto carnico para el consumo humano proporcionados.</t>
  </si>
  <si>
    <t>Realizar 1 programa de mejoramiento de las instalaciones del rastro para cumplir con normativas de sanidad y bienestar animal</t>
  </si>
  <si>
    <t>10.2.1.3</t>
  </si>
  <si>
    <t>Gestionar 1 incorporación de tecnologías avanzadas para el procesamiento carnico</t>
  </si>
  <si>
    <t>Elaborar 1 proyecto para la construcción del nuevo rastro municipal</t>
  </si>
  <si>
    <t>Esquema integral que promueva la conservación y aprovechamiento de los espacios públicos atendido</t>
  </si>
  <si>
    <t xml:space="preserve"> Dar 48 mantenimientos y recuperación de  parques, jardines y espacios públicos</t>
  </si>
  <si>
    <t>10.2.1.5
10.6.1.2</t>
  </si>
  <si>
    <t>Realizar 4 etapas del programa de poda preventiva y correctiva de arbolado en espacios públicos y zonas identificadas como de riesgo, conforme a criterios técnicos y de seguridad.</t>
  </si>
  <si>
    <t xml:space="preserve">10.6.1.1 </t>
  </si>
  <si>
    <t>Acciones de mantenimiento y conservación de espacios públicos Municipales atendidos</t>
  </si>
  <si>
    <t>10.6.1.3</t>
  </si>
  <si>
    <t>Mejoramiento de la infraestructura Municipal realizado</t>
  </si>
  <si>
    <t>C12</t>
  </si>
  <si>
    <t>Mantenimiento, rehabilitación y operación de panteones municipales realizado</t>
  </si>
  <si>
    <t>C12-A1</t>
  </si>
  <si>
    <t>C12-A2</t>
  </si>
  <si>
    <t>Expedir 660 documentos relacionados a los trámites y/o servicios proporcionados por la Dir. de Panteones</t>
  </si>
  <si>
    <t>10.2.1.2</t>
  </si>
  <si>
    <t>C12-A3</t>
  </si>
  <si>
    <t>Realizar 12 mantenimientos de limpieza a los panteones limpios para tenerlos en buen estado</t>
  </si>
  <si>
    <t>C12-A4</t>
  </si>
  <si>
    <t>Realizar 12 informes de los procesos de inhumación y exhumación y la construcción de fosas y monumentos</t>
  </si>
  <si>
    <t>MATRIZ PROGRAMÁTICA DEL AYUNTAMIENTO DE HUAUCHINANGO EJERCICIO 2026</t>
  </si>
  <si>
    <t>Cantidad</t>
  </si>
  <si>
    <t>Presidencia Municipal</t>
  </si>
  <si>
    <t>Unidad de Giras y Eventos</t>
  </si>
  <si>
    <t xml:space="preserve">Dirección de Comunicación Social </t>
  </si>
  <si>
    <t xml:space="preserve">Unidad de Transparencia </t>
  </si>
  <si>
    <t>Sindicatura</t>
  </si>
  <si>
    <t xml:space="preserve">Juzgado Calificador </t>
  </si>
  <si>
    <t xml:space="preserve">Dirección Jurídica </t>
  </si>
  <si>
    <t>Secretaría Gobernación Municipal y Participación Ciudadana</t>
  </si>
  <si>
    <t>Dirección de Atención a Autoridades Auxiliares y Comunidades Indígenas</t>
  </si>
  <si>
    <t xml:space="preserve">Contraloría Municipal </t>
  </si>
  <si>
    <t xml:space="preserve">Dirección Planeación, Evaluación y Seguimiento </t>
  </si>
  <si>
    <t xml:space="preserve">Organo Interno de Control </t>
  </si>
  <si>
    <t>Secretaría del Ayuntamiento</t>
  </si>
  <si>
    <t xml:space="preserve">Dirección de Archivo Municipal </t>
  </si>
  <si>
    <t>Honorable Cabildo</t>
  </si>
  <si>
    <t>Dirección del Registro del Estado de las Personas</t>
  </si>
  <si>
    <t>Unidad Oficialía de Partes de Seguimiento y Espacios Públicos</t>
  </si>
  <si>
    <t>Tesorería Municipal</t>
  </si>
  <si>
    <t>Unidad de Sistemas e Informática</t>
  </si>
  <si>
    <t>Dirección de Catastro</t>
  </si>
  <si>
    <t xml:space="preserve">Dirección de Recuros Humanos </t>
  </si>
  <si>
    <t>Dirección de Adquisiciones y Adjudicaciones</t>
  </si>
  <si>
    <t>Unidad de Contabilidad y Control Presupuestal.</t>
  </si>
  <si>
    <t>Dirección de Comercio y Abasto</t>
  </si>
  <si>
    <t>Departamento de Tianguis y Comercio en Espacios abiertos</t>
  </si>
  <si>
    <t>Departamento de Mercados</t>
  </si>
  <si>
    <t xml:space="preserve">Unidad de Bienes Muebles </t>
  </si>
  <si>
    <t>Unidad de Mantenimiento Vehicular</t>
  </si>
  <si>
    <t>Secretaría de Seguridad Pública y Protección Ciudadana</t>
  </si>
  <si>
    <t>Centro Penitenciario Regional de Huauchinango</t>
  </si>
  <si>
    <t>Dirección de Operación Policial</t>
  </si>
  <si>
    <t>Dirección de Protección Civil y Bomberos</t>
  </si>
  <si>
    <t xml:space="preserve">Dirección de Seguridad Vial y Tránsito Municipal </t>
  </si>
  <si>
    <t>Departamento de parquimetros</t>
  </si>
  <si>
    <t>Dirección de Prevención del Delito y Vinculación Ciudadana</t>
  </si>
  <si>
    <t>Unidad de Atención Inmediata a las Mujeres</t>
  </si>
  <si>
    <t>Secretaría de Bienestar Social</t>
  </si>
  <si>
    <t xml:space="preserve">Dirección de Cultura </t>
  </si>
  <si>
    <t xml:space="preserve">Dirección de Turismo </t>
  </si>
  <si>
    <t xml:space="preserve">Dirección de Educación </t>
  </si>
  <si>
    <t xml:space="preserve">Dirección de Salud </t>
  </si>
  <si>
    <t xml:space="preserve">Departamento de  Programas Sociales </t>
  </si>
  <si>
    <t>Departamento de Desarrollo Agropecuario</t>
  </si>
  <si>
    <t>Dirección de Atención a las Mujeres e Igualdad Sustantiva</t>
  </si>
  <si>
    <t>Depatrtamento de Juventudes</t>
  </si>
  <si>
    <t>Departamento de Deporte y Recreación</t>
  </si>
  <si>
    <t>Dirección de Deportes, Recreación y Juventudes</t>
  </si>
  <si>
    <t>Sistema DIF Municipal</t>
  </si>
  <si>
    <t>Secretaría de Infraestructura y Gestión Integral</t>
  </si>
  <si>
    <t>Dirección de Desarrollo Urbano</t>
  </si>
  <si>
    <t>Dirección de Medio Ambiente y Bienestar Animal</t>
  </si>
  <si>
    <t>Departamento de Recursos Naturales</t>
  </si>
  <si>
    <t>Departamento de Bienestar Animal</t>
  </si>
  <si>
    <t>Departamento de Servicios de Limpia</t>
  </si>
  <si>
    <t xml:space="preserve">Departamento de Alumbrado Público </t>
  </si>
  <si>
    <t>Unidad de Rastro Municipal</t>
  </si>
  <si>
    <t>Departamento de Parques y Jardines</t>
  </si>
  <si>
    <t>Departamento de Servicios Generales</t>
  </si>
  <si>
    <t xml:space="preserve">Departamento de Obra Pública </t>
  </si>
  <si>
    <t xml:space="preserve">Dirección de Panteones </t>
  </si>
  <si>
    <t>Impartir 96 acciones de formación artística y cultural</t>
  </si>
  <si>
    <t>Planear 1 Carnaval 2026</t>
  </si>
  <si>
    <t>Dotar de 47 kits de insumos a la brigada médica.</t>
  </si>
  <si>
    <t>C3. A7</t>
  </si>
  <si>
    <t>Realizar 4 reportes sobre las visitas a establecimientos con venta de bebidas alcohólicas con la finalidad que verifiquen que cumpla con el Reglamento  para Establecimientos con Venta de Bebidas Alcohólicas para el Municipio de Huauchinango</t>
  </si>
  <si>
    <t xml:space="preserve">2.1.1.3
2.1.1.4
</t>
  </si>
  <si>
    <t xml:space="preserve">Realizar 6 campañas informativas sobre cuidados, esterilización, vacunación, identificación y manejo responsable en vía pública, promoviendo la tenencia responsable y la empatía hacia los seres sintientes </t>
  </si>
  <si>
    <t>Atender 20 solicitud para el permiso del derribo de arbolado que representa riesgo potencial para la población e infraestructura (Bajo demanda)</t>
  </si>
  <si>
    <t>Implementar 1 plan de actividades para las personas privadas de la libertad (Bajo demanda)</t>
  </si>
  <si>
    <r>
      <rPr>
        <b/>
        <sz val="10"/>
        <color theme="1"/>
        <rFont val="Arial"/>
        <family val="2"/>
      </rPr>
      <t>Otorgar</t>
    </r>
    <r>
      <rPr>
        <sz val="10"/>
        <color theme="1"/>
        <rFont val="Arial"/>
        <family val="2"/>
      </rPr>
      <t xml:space="preserve"> 111 de los servicios generales , asi como las actividades relacionadas con la administración de los recursos materiales</t>
    </r>
  </si>
  <si>
    <r>
      <t>Supervisar 110 Obras de Infraestructura</t>
    </r>
    <r>
      <rPr>
        <b/>
        <u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social básica, Servicios Basicos de la Vivienda, Salud, Educación, Caminos y Urbanización, Calidad y espacio de la Vivienda, Deporte y Esparcimiento.</t>
    </r>
  </si>
  <si>
    <r>
      <t>Comprobar 110 Obras de Infraestructura</t>
    </r>
    <r>
      <rPr>
        <b/>
        <u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social básica, Servicios Basicos de la Vivienda, Salud, Educación, Caminos y Urbanización, Calidad y espacio de la Vivienda, Deporte y Esparcimiento.</t>
    </r>
  </si>
  <si>
    <t>|</t>
  </si>
  <si>
    <t xml:space="preserve">Coordinación con dependencias y entidades para el cumplimiento de acciones estratégicas realizada </t>
  </si>
  <si>
    <t>.</t>
  </si>
  <si>
    <t>Total</t>
  </si>
  <si>
    <t>Diferencia</t>
  </si>
  <si>
    <t>MONTO</t>
  </si>
  <si>
    <t>Ley de Ingresos 2026 Huauchinango</t>
  </si>
  <si>
    <t>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</si>
</sst>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ahoma"/>
      <family val="2"/>
    </font>
    <font>
      <sz val="12"/>
      <color theme="1"/>
      <name val="Aptos Display"/>
      <family val="2"/>
      <scheme val="major"/>
    </font>
    <font>
      <sz val="12"/>
      <color theme="1"/>
      <name val="Aptos"/>
      <family val="2"/>
    </font>
    <font>
      <b/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justify" vertical="center" wrapText="1"/>
    </xf>
    <xf numFmtId="0" fontId="10" fillId="0" borderId="1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5" xfId="0" applyFont="1" applyBorder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1" fontId="1" fillId="0" borderId="5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4" fontId="2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4" fontId="1" fillId="9" borderId="5" xfId="0" applyNumberFormat="1" applyFont="1" applyFill="1" applyBorder="1" applyAlignment="1">
      <alignment horizontal="center" vertical="center" wrapText="1"/>
    </xf>
    <xf numFmtId="4" fontId="1" fillId="9" borderId="8" xfId="0" applyNumberFormat="1" applyFont="1" applyFill="1" applyBorder="1" applyAlignment="1">
      <alignment horizontal="center" vertical="center" wrapText="1"/>
    </xf>
    <xf numFmtId="4" fontId="1" fillId="7" borderId="5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" fillId="0" borderId="0" xfId="0" applyFont="1"/>
    <xf numFmtId="4" fontId="1" fillId="8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4" fontId="1" fillId="7" borderId="8" xfId="0" applyNumberFormat="1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4" fontId="13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justify" vertical="center" wrapText="1"/>
    </xf>
    <xf numFmtId="4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A75F-A81B-4DD4-B08A-137B3504C985}">
  <sheetPr>
    <pageSetUpPr fitToPage="1"/>
  </sheetPr>
  <dimension ref="A1:AD359"/>
  <sheetViews>
    <sheetView showGridLines="0" tabSelected="1" zoomScale="70" zoomScaleNormal="70" workbookViewId="0">
      <selection activeCell="N9" sqref="N9"/>
    </sheetView>
  </sheetViews>
  <sheetFormatPr baseColWidth="10" defaultRowHeight="10.5" x14ac:dyDescent="0.2"/>
  <cols>
    <col min="1" max="1" width="11.5703125" style="3"/>
    <col min="2" max="2" width="8.7109375" style="3" customWidth="1"/>
    <col min="3" max="3" width="15.28515625" style="3" customWidth="1"/>
    <col min="4" max="4" width="17.28515625" style="3" bestFit="1" customWidth="1"/>
    <col min="5" max="5" width="8.7109375" style="3" customWidth="1"/>
    <col min="6" max="6" width="18.140625" style="3" customWidth="1"/>
    <col min="7" max="7" width="8.7109375" style="3" customWidth="1"/>
    <col min="8" max="8" width="32.28515625" style="3" customWidth="1"/>
    <col min="9" max="9" width="14.140625" style="3" hidden="1" customWidth="1"/>
    <col min="10" max="10" width="18.7109375" style="3" hidden="1" customWidth="1"/>
    <col min="11" max="11" width="18.7109375" style="3" customWidth="1"/>
    <col min="12" max="12" width="18.7109375" style="41" customWidth="1"/>
    <col min="13" max="13" width="8.7109375" style="4" customWidth="1"/>
    <col min="14" max="14" width="60.7109375" style="5" customWidth="1"/>
    <col min="15" max="15" width="10" style="4" customWidth="1"/>
    <col min="16" max="16" width="8.28515625" style="4" bestFit="1" customWidth="1"/>
    <col min="17" max="28" width="9.28515625" style="4" customWidth="1"/>
    <col min="29" max="34" width="11.5703125" style="3" customWidth="1"/>
    <col min="35" max="247" width="11.5703125" style="3"/>
    <col min="248" max="248" width="17.28515625" style="3" customWidth="1"/>
    <col min="249" max="249" width="7.140625" style="3" bestFit="1" customWidth="1"/>
    <col min="250" max="250" width="18.140625" style="3" customWidth="1"/>
    <col min="251" max="251" width="7.140625" style="3" bestFit="1" customWidth="1"/>
    <col min="252" max="252" width="21.140625" style="3" customWidth="1"/>
    <col min="253" max="254" width="0" style="3" hidden="1" customWidth="1"/>
    <col min="255" max="255" width="7.7109375" style="3" bestFit="1" customWidth="1"/>
    <col min="256" max="256" width="74" style="3" customWidth="1"/>
    <col min="257" max="257" width="10" style="3" customWidth="1"/>
    <col min="258" max="258" width="6.140625" style="3" bestFit="1" customWidth="1"/>
    <col min="259" max="259" width="11.5703125" style="3"/>
    <col min="260" max="260" width="10.28515625" style="3" bestFit="1" customWidth="1"/>
    <col min="261" max="261" width="11.5703125" style="3"/>
    <col min="262" max="262" width="10.28515625" style="3" bestFit="1" customWidth="1"/>
    <col min="263" max="263" width="11.5703125" style="3"/>
    <col min="264" max="264" width="10.28515625" style="3" bestFit="1" customWidth="1"/>
    <col min="265" max="265" width="11.5703125" style="3"/>
    <col min="266" max="266" width="10.28515625" style="3" bestFit="1" customWidth="1"/>
    <col min="267" max="267" width="11.5703125" style="3"/>
    <col min="268" max="268" width="10.28515625" style="3" bestFit="1" customWidth="1"/>
    <col min="269" max="269" width="11.5703125" style="3"/>
    <col min="270" max="270" width="10.28515625" style="3" bestFit="1" customWidth="1"/>
    <col min="271" max="271" width="11.5703125" style="3"/>
    <col min="272" max="272" width="10.28515625" style="3" bestFit="1" customWidth="1"/>
    <col min="273" max="273" width="11.5703125" style="3"/>
    <col min="274" max="274" width="10.28515625" style="3" bestFit="1" customWidth="1"/>
    <col min="275" max="275" width="11.5703125" style="3"/>
    <col min="276" max="276" width="10.28515625" style="3" bestFit="1" customWidth="1"/>
    <col min="277" max="277" width="11.5703125" style="3"/>
    <col min="278" max="278" width="10.28515625" style="3" bestFit="1" customWidth="1"/>
    <col min="279" max="503" width="11.5703125" style="3"/>
    <col min="504" max="504" width="17.28515625" style="3" customWidth="1"/>
    <col min="505" max="505" width="7.140625" style="3" bestFit="1" customWidth="1"/>
    <col min="506" max="506" width="18.140625" style="3" customWidth="1"/>
    <col min="507" max="507" width="7.140625" style="3" bestFit="1" customWidth="1"/>
    <col min="508" max="508" width="21.140625" style="3" customWidth="1"/>
    <col min="509" max="510" width="0" style="3" hidden="1" customWidth="1"/>
    <col min="511" max="511" width="7.7109375" style="3" bestFit="1" customWidth="1"/>
    <col min="512" max="512" width="74" style="3" customWidth="1"/>
    <col min="513" max="513" width="10" style="3" customWidth="1"/>
    <col min="514" max="514" width="6.140625" style="3" bestFit="1" customWidth="1"/>
    <col min="515" max="515" width="11.5703125" style="3"/>
    <col min="516" max="516" width="10.28515625" style="3" bestFit="1" customWidth="1"/>
    <col min="517" max="517" width="11.5703125" style="3"/>
    <col min="518" max="518" width="10.28515625" style="3" bestFit="1" customWidth="1"/>
    <col min="519" max="519" width="11.5703125" style="3"/>
    <col min="520" max="520" width="10.28515625" style="3" bestFit="1" customWidth="1"/>
    <col min="521" max="521" width="11.5703125" style="3"/>
    <col min="522" max="522" width="10.28515625" style="3" bestFit="1" customWidth="1"/>
    <col min="523" max="523" width="11.5703125" style="3"/>
    <col min="524" max="524" width="10.28515625" style="3" bestFit="1" customWidth="1"/>
    <col min="525" max="525" width="11.5703125" style="3"/>
    <col min="526" max="526" width="10.28515625" style="3" bestFit="1" customWidth="1"/>
    <col min="527" max="527" width="11.5703125" style="3"/>
    <col min="528" max="528" width="10.28515625" style="3" bestFit="1" customWidth="1"/>
    <col min="529" max="529" width="11.5703125" style="3"/>
    <col min="530" max="530" width="10.28515625" style="3" bestFit="1" customWidth="1"/>
    <col min="531" max="531" width="11.5703125" style="3"/>
    <col min="532" max="532" width="10.28515625" style="3" bestFit="1" customWidth="1"/>
    <col min="533" max="533" width="11.5703125" style="3"/>
    <col min="534" max="534" width="10.28515625" style="3" bestFit="1" customWidth="1"/>
    <col min="535" max="759" width="11.5703125" style="3"/>
    <col min="760" max="760" width="17.28515625" style="3" customWidth="1"/>
    <col min="761" max="761" width="7.140625" style="3" bestFit="1" customWidth="1"/>
    <col min="762" max="762" width="18.140625" style="3" customWidth="1"/>
    <col min="763" max="763" width="7.140625" style="3" bestFit="1" customWidth="1"/>
    <col min="764" max="764" width="21.140625" style="3" customWidth="1"/>
    <col min="765" max="766" width="0" style="3" hidden="1" customWidth="1"/>
    <col min="767" max="767" width="7.7109375" style="3" bestFit="1" customWidth="1"/>
    <col min="768" max="768" width="74" style="3" customWidth="1"/>
    <col min="769" max="769" width="10" style="3" customWidth="1"/>
    <col min="770" max="770" width="6.140625" style="3" bestFit="1" customWidth="1"/>
    <col min="771" max="771" width="11.5703125" style="3"/>
    <col min="772" max="772" width="10.28515625" style="3" bestFit="1" customWidth="1"/>
    <col min="773" max="773" width="11.5703125" style="3"/>
    <col min="774" max="774" width="10.28515625" style="3" bestFit="1" customWidth="1"/>
    <col min="775" max="775" width="11.5703125" style="3"/>
    <col min="776" max="776" width="10.28515625" style="3" bestFit="1" customWidth="1"/>
    <col min="777" max="777" width="11.5703125" style="3"/>
    <col min="778" max="778" width="10.28515625" style="3" bestFit="1" customWidth="1"/>
    <col min="779" max="779" width="11.5703125" style="3"/>
    <col min="780" max="780" width="10.28515625" style="3" bestFit="1" customWidth="1"/>
    <col min="781" max="781" width="11.5703125" style="3"/>
    <col min="782" max="782" width="10.28515625" style="3" bestFit="1" customWidth="1"/>
    <col min="783" max="783" width="11.5703125" style="3"/>
    <col min="784" max="784" width="10.28515625" style="3" bestFit="1" customWidth="1"/>
    <col min="785" max="785" width="11.5703125" style="3"/>
    <col min="786" max="786" width="10.28515625" style="3" bestFit="1" customWidth="1"/>
    <col min="787" max="787" width="11.5703125" style="3"/>
    <col min="788" max="788" width="10.28515625" style="3" bestFit="1" customWidth="1"/>
    <col min="789" max="789" width="11.5703125" style="3"/>
    <col min="790" max="790" width="10.28515625" style="3" bestFit="1" customWidth="1"/>
    <col min="791" max="1015" width="11.5703125" style="3"/>
    <col min="1016" max="1016" width="17.28515625" style="3" customWidth="1"/>
    <col min="1017" max="1017" width="7.140625" style="3" bestFit="1" customWidth="1"/>
    <col min="1018" max="1018" width="18.140625" style="3" customWidth="1"/>
    <col min="1019" max="1019" width="7.140625" style="3" bestFit="1" customWidth="1"/>
    <col min="1020" max="1020" width="21.140625" style="3" customWidth="1"/>
    <col min="1021" max="1022" width="0" style="3" hidden="1" customWidth="1"/>
    <col min="1023" max="1023" width="7.7109375" style="3" bestFit="1" customWidth="1"/>
    <col min="1024" max="1024" width="74" style="3" customWidth="1"/>
    <col min="1025" max="1025" width="10" style="3" customWidth="1"/>
    <col min="1026" max="1026" width="6.140625" style="3" bestFit="1" customWidth="1"/>
    <col min="1027" max="1027" width="11.5703125" style="3"/>
    <col min="1028" max="1028" width="10.28515625" style="3" bestFit="1" customWidth="1"/>
    <col min="1029" max="1029" width="11.5703125" style="3"/>
    <col min="1030" max="1030" width="10.28515625" style="3" bestFit="1" customWidth="1"/>
    <col min="1031" max="1031" width="11.5703125" style="3"/>
    <col min="1032" max="1032" width="10.28515625" style="3" bestFit="1" customWidth="1"/>
    <col min="1033" max="1033" width="11.5703125" style="3"/>
    <col min="1034" max="1034" width="10.28515625" style="3" bestFit="1" customWidth="1"/>
    <col min="1035" max="1035" width="11.5703125" style="3"/>
    <col min="1036" max="1036" width="10.28515625" style="3" bestFit="1" customWidth="1"/>
    <col min="1037" max="1037" width="11.5703125" style="3"/>
    <col min="1038" max="1038" width="10.28515625" style="3" bestFit="1" customWidth="1"/>
    <col min="1039" max="1039" width="11.5703125" style="3"/>
    <col min="1040" max="1040" width="10.28515625" style="3" bestFit="1" customWidth="1"/>
    <col min="1041" max="1041" width="11.5703125" style="3"/>
    <col min="1042" max="1042" width="10.28515625" style="3" bestFit="1" customWidth="1"/>
    <col min="1043" max="1043" width="11.5703125" style="3"/>
    <col min="1044" max="1044" width="10.28515625" style="3" bestFit="1" customWidth="1"/>
    <col min="1045" max="1045" width="11.5703125" style="3"/>
    <col min="1046" max="1046" width="10.28515625" style="3" bestFit="1" customWidth="1"/>
    <col min="1047" max="1271" width="11.5703125" style="3"/>
    <col min="1272" max="1272" width="17.28515625" style="3" customWidth="1"/>
    <col min="1273" max="1273" width="7.140625" style="3" bestFit="1" customWidth="1"/>
    <col min="1274" max="1274" width="18.140625" style="3" customWidth="1"/>
    <col min="1275" max="1275" width="7.140625" style="3" bestFit="1" customWidth="1"/>
    <col min="1276" max="1276" width="21.140625" style="3" customWidth="1"/>
    <col min="1277" max="1278" width="0" style="3" hidden="1" customWidth="1"/>
    <col min="1279" max="1279" width="7.7109375" style="3" bestFit="1" customWidth="1"/>
    <col min="1280" max="1280" width="74" style="3" customWidth="1"/>
    <col min="1281" max="1281" width="10" style="3" customWidth="1"/>
    <col min="1282" max="1282" width="6.140625" style="3" bestFit="1" customWidth="1"/>
    <col min="1283" max="1283" width="11.5703125" style="3"/>
    <col min="1284" max="1284" width="10.28515625" style="3" bestFit="1" customWidth="1"/>
    <col min="1285" max="1285" width="11.5703125" style="3"/>
    <col min="1286" max="1286" width="10.28515625" style="3" bestFit="1" customWidth="1"/>
    <col min="1287" max="1287" width="11.5703125" style="3"/>
    <col min="1288" max="1288" width="10.28515625" style="3" bestFit="1" customWidth="1"/>
    <col min="1289" max="1289" width="11.5703125" style="3"/>
    <col min="1290" max="1290" width="10.28515625" style="3" bestFit="1" customWidth="1"/>
    <col min="1291" max="1291" width="11.5703125" style="3"/>
    <col min="1292" max="1292" width="10.28515625" style="3" bestFit="1" customWidth="1"/>
    <col min="1293" max="1293" width="11.5703125" style="3"/>
    <col min="1294" max="1294" width="10.28515625" style="3" bestFit="1" customWidth="1"/>
    <col min="1295" max="1295" width="11.5703125" style="3"/>
    <col min="1296" max="1296" width="10.28515625" style="3" bestFit="1" customWidth="1"/>
    <col min="1297" max="1297" width="11.5703125" style="3"/>
    <col min="1298" max="1298" width="10.28515625" style="3" bestFit="1" customWidth="1"/>
    <col min="1299" max="1299" width="11.5703125" style="3"/>
    <col min="1300" max="1300" width="10.28515625" style="3" bestFit="1" customWidth="1"/>
    <col min="1301" max="1301" width="11.5703125" style="3"/>
    <col min="1302" max="1302" width="10.28515625" style="3" bestFit="1" customWidth="1"/>
    <col min="1303" max="1527" width="11.5703125" style="3"/>
    <col min="1528" max="1528" width="17.28515625" style="3" customWidth="1"/>
    <col min="1529" max="1529" width="7.140625" style="3" bestFit="1" customWidth="1"/>
    <col min="1530" max="1530" width="18.140625" style="3" customWidth="1"/>
    <col min="1531" max="1531" width="7.140625" style="3" bestFit="1" customWidth="1"/>
    <col min="1532" max="1532" width="21.140625" style="3" customWidth="1"/>
    <col min="1533" max="1534" width="0" style="3" hidden="1" customWidth="1"/>
    <col min="1535" max="1535" width="7.7109375" style="3" bestFit="1" customWidth="1"/>
    <col min="1536" max="1536" width="74" style="3" customWidth="1"/>
    <col min="1537" max="1537" width="10" style="3" customWidth="1"/>
    <col min="1538" max="1538" width="6.140625" style="3" bestFit="1" customWidth="1"/>
    <col min="1539" max="1539" width="11.5703125" style="3"/>
    <col min="1540" max="1540" width="10.28515625" style="3" bestFit="1" customWidth="1"/>
    <col min="1541" max="1541" width="11.5703125" style="3"/>
    <col min="1542" max="1542" width="10.28515625" style="3" bestFit="1" customWidth="1"/>
    <col min="1543" max="1543" width="11.5703125" style="3"/>
    <col min="1544" max="1544" width="10.28515625" style="3" bestFit="1" customWidth="1"/>
    <col min="1545" max="1545" width="11.5703125" style="3"/>
    <col min="1546" max="1546" width="10.28515625" style="3" bestFit="1" customWidth="1"/>
    <col min="1547" max="1547" width="11.5703125" style="3"/>
    <col min="1548" max="1548" width="10.28515625" style="3" bestFit="1" customWidth="1"/>
    <col min="1549" max="1549" width="11.5703125" style="3"/>
    <col min="1550" max="1550" width="10.28515625" style="3" bestFit="1" customWidth="1"/>
    <col min="1551" max="1551" width="11.5703125" style="3"/>
    <col min="1552" max="1552" width="10.28515625" style="3" bestFit="1" customWidth="1"/>
    <col min="1553" max="1553" width="11.5703125" style="3"/>
    <col min="1554" max="1554" width="10.28515625" style="3" bestFit="1" customWidth="1"/>
    <col min="1555" max="1555" width="11.5703125" style="3"/>
    <col min="1556" max="1556" width="10.28515625" style="3" bestFit="1" customWidth="1"/>
    <col min="1557" max="1557" width="11.5703125" style="3"/>
    <col min="1558" max="1558" width="10.28515625" style="3" bestFit="1" customWidth="1"/>
    <col min="1559" max="1783" width="11.5703125" style="3"/>
    <col min="1784" max="1784" width="17.28515625" style="3" customWidth="1"/>
    <col min="1785" max="1785" width="7.140625" style="3" bestFit="1" customWidth="1"/>
    <col min="1786" max="1786" width="18.140625" style="3" customWidth="1"/>
    <col min="1787" max="1787" width="7.140625" style="3" bestFit="1" customWidth="1"/>
    <col min="1788" max="1788" width="21.140625" style="3" customWidth="1"/>
    <col min="1789" max="1790" width="0" style="3" hidden="1" customWidth="1"/>
    <col min="1791" max="1791" width="7.7109375" style="3" bestFit="1" customWidth="1"/>
    <col min="1792" max="1792" width="74" style="3" customWidth="1"/>
    <col min="1793" max="1793" width="10" style="3" customWidth="1"/>
    <col min="1794" max="1794" width="6.140625" style="3" bestFit="1" customWidth="1"/>
    <col min="1795" max="1795" width="11.5703125" style="3"/>
    <col min="1796" max="1796" width="10.28515625" style="3" bestFit="1" customWidth="1"/>
    <col min="1797" max="1797" width="11.5703125" style="3"/>
    <col min="1798" max="1798" width="10.28515625" style="3" bestFit="1" customWidth="1"/>
    <col min="1799" max="1799" width="11.5703125" style="3"/>
    <col min="1800" max="1800" width="10.28515625" style="3" bestFit="1" customWidth="1"/>
    <col min="1801" max="1801" width="11.5703125" style="3"/>
    <col min="1802" max="1802" width="10.28515625" style="3" bestFit="1" customWidth="1"/>
    <col min="1803" max="1803" width="11.5703125" style="3"/>
    <col min="1804" max="1804" width="10.28515625" style="3" bestFit="1" customWidth="1"/>
    <col min="1805" max="1805" width="11.5703125" style="3"/>
    <col min="1806" max="1806" width="10.28515625" style="3" bestFit="1" customWidth="1"/>
    <col min="1807" max="1807" width="11.5703125" style="3"/>
    <col min="1808" max="1808" width="10.28515625" style="3" bestFit="1" customWidth="1"/>
    <col min="1809" max="1809" width="11.5703125" style="3"/>
    <col min="1810" max="1810" width="10.28515625" style="3" bestFit="1" customWidth="1"/>
    <col min="1811" max="1811" width="11.5703125" style="3"/>
    <col min="1812" max="1812" width="10.28515625" style="3" bestFit="1" customWidth="1"/>
    <col min="1813" max="1813" width="11.5703125" style="3"/>
    <col min="1814" max="1814" width="10.28515625" style="3" bestFit="1" customWidth="1"/>
    <col min="1815" max="2039" width="11.5703125" style="3"/>
    <col min="2040" max="2040" width="17.28515625" style="3" customWidth="1"/>
    <col min="2041" max="2041" width="7.140625" style="3" bestFit="1" customWidth="1"/>
    <col min="2042" max="2042" width="18.140625" style="3" customWidth="1"/>
    <col min="2043" max="2043" width="7.140625" style="3" bestFit="1" customWidth="1"/>
    <col min="2044" max="2044" width="21.140625" style="3" customWidth="1"/>
    <col min="2045" max="2046" width="0" style="3" hidden="1" customWidth="1"/>
    <col min="2047" max="2047" width="7.7109375" style="3" bestFit="1" customWidth="1"/>
    <col min="2048" max="2048" width="74" style="3" customWidth="1"/>
    <col min="2049" max="2049" width="10" style="3" customWidth="1"/>
    <col min="2050" max="2050" width="6.140625" style="3" bestFit="1" customWidth="1"/>
    <col min="2051" max="2051" width="11.5703125" style="3"/>
    <col min="2052" max="2052" width="10.28515625" style="3" bestFit="1" customWidth="1"/>
    <col min="2053" max="2053" width="11.5703125" style="3"/>
    <col min="2054" max="2054" width="10.28515625" style="3" bestFit="1" customWidth="1"/>
    <col min="2055" max="2055" width="11.5703125" style="3"/>
    <col min="2056" max="2056" width="10.28515625" style="3" bestFit="1" customWidth="1"/>
    <col min="2057" max="2057" width="11.5703125" style="3"/>
    <col min="2058" max="2058" width="10.28515625" style="3" bestFit="1" customWidth="1"/>
    <col min="2059" max="2059" width="11.5703125" style="3"/>
    <col min="2060" max="2060" width="10.28515625" style="3" bestFit="1" customWidth="1"/>
    <col min="2061" max="2061" width="11.5703125" style="3"/>
    <col min="2062" max="2062" width="10.28515625" style="3" bestFit="1" customWidth="1"/>
    <col min="2063" max="2063" width="11.5703125" style="3"/>
    <col min="2064" max="2064" width="10.28515625" style="3" bestFit="1" customWidth="1"/>
    <col min="2065" max="2065" width="11.5703125" style="3"/>
    <col min="2066" max="2066" width="10.28515625" style="3" bestFit="1" customWidth="1"/>
    <col min="2067" max="2067" width="11.5703125" style="3"/>
    <col min="2068" max="2068" width="10.28515625" style="3" bestFit="1" customWidth="1"/>
    <col min="2069" max="2069" width="11.5703125" style="3"/>
    <col min="2070" max="2070" width="10.28515625" style="3" bestFit="1" customWidth="1"/>
    <col min="2071" max="2295" width="11.5703125" style="3"/>
    <col min="2296" max="2296" width="17.28515625" style="3" customWidth="1"/>
    <col min="2297" max="2297" width="7.140625" style="3" bestFit="1" customWidth="1"/>
    <col min="2298" max="2298" width="18.140625" style="3" customWidth="1"/>
    <col min="2299" max="2299" width="7.140625" style="3" bestFit="1" customWidth="1"/>
    <col min="2300" max="2300" width="21.140625" style="3" customWidth="1"/>
    <col min="2301" max="2302" width="0" style="3" hidden="1" customWidth="1"/>
    <col min="2303" max="2303" width="7.7109375" style="3" bestFit="1" customWidth="1"/>
    <col min="2304" max="2304" width="74" style="3" customWidth="1"/>
    <col min="2305" max="2305" width="10" style="3" customWidth="1"/>
    <col min="2306" max="2306" width="6.140625" style="3" bestFit="1" customWidth="1"/>
    <col min="2307" max="2307" width="11.5703125" style="3"/>
    <col min="2308" max="2308" width="10.28515625" style="3" bestFit="1" customWidth="1"/>
    <col min="2309" max="2309" width="11.5703125" style="3"/>
    <col min="2310" max="2310" width="10.28515625" style="3" bestFit="1" customWidth="1"/>
    <col min="2311" max="2311" width="11.5703125" style="3"/>
    <col min="2312" max="2312" width="10.28515625" style="3" bestFit="1" customWidth="1"/>
    <col min="2313" max="2313" width="11.5703125" style="3"/>
    <col min="2314" max="2314" width="10.28515625" style="3" bestFit="1" customWidth="1"/>
    <col min="2315" max="2315" width="11.5703125" style="3"/>
    <col min="2316" max="2316" width="10.28515625" style="3" bestFit="1" customWidth="1"/>
    <col min="2317" max="2317" width="11.5703125" style="3"/>
    <col min="2318" max="2318" width="10.28515625" style="3" bestFit="1" customWidth="1"/>
    <col min="2319" max="2319" width="11.5703125" style="3"/>
    <col min="2320" max="2320" width="10.28515625" style="3" bestFit="1" customWidth="1"/>
    <col min="2321" max="2321" width="11.5703125" style="3"/>
    <col min="2322" max="2322" width="10.28515625" style="3" bestFit="1" customWidth="1"/>
    <col min="2323" max="2323" width="11.5703125" style="3"/>
    <col min="2324" max="2324" width="10.28515625" style="3" bestFit="1" customWidth="1"/>
    <col min="2325" max="2325" width="11.5703125" style="3"/>
    <col min="2326" max="2326" width="10.28515625" style="3" bestFit="1" customWidth="1"/>
    <col min="2327" max="2551" width="11.5703125" style="3"/>
    <col min="2552" max="2552" width="17.28515625" style="3" customWidth="1"/>
    <col min="2553" max="2553" width="7.140625" style="3" bestFit="1" customWidth="1"/>
    <col min="2554" max="2554" width="18.140625" style="3" customWidth="1"/>
    <col min="2555" max="2555" width="7.140625" style="3" bestFit="1" customWidth="1"/>
    <col min="2556" max="2556" width="21.140625" style="3" customWidth="1"/>
    <col min="2557" max="2558" width="0" style="3" hidden="1" customWidth="1"/>
    <col min="2559" max="2559" width="7.7109375" style="3" bestFit="1" customWidth="1"/>
    <col min="2560" max="2560" width="74" style="3" customWidth="1"/>
    <col min="2561" max="2561" width="10" style="3" customWidth="1"/>
    <col min="2562" max="2562" width="6.140625" style="3" bestFit="1" customWidth="1"/>
    <col min="2563" max="2563" width="11.5703125" style="3"/>
    <col min="2564" max="2564" width="10.28515625" style="3" bestFit="1" customWidth="1"/>
    <col min="2565" max="2565" width="11.5703125" style="3"/>
    <col min="2566" max="2566" width="10.28515625" style="3" bestFit="1" customWidth="1"/>
    <col min="2567" max="2567" width="11.5703125" style="3"/>
    <col min="2568" max="2568" width="10.28515625" style="3" bestFit="1" customWidth="1"/>
    <col min="2569" max="2569" width="11.5703125" style="3"/>
    <col min="2570" max="2570" width="10.28515625" style="3" bestFit="1" customWidth="1"/>
    <col min="2571" max="2571" width="11.5703125" style="3"/>
    <col min="2572" max="2572" width="10.28515625" style="3" bestFit="1" customWidth="1"/>
    <col min="2573" max="2573" width="11.5703125" style="3"/>
    <col min="2574" max="2574" width="10.28515625" style="3" bestFit="1" customWidth="1"/>
    <col min="2575" max="2575" width="11.5703125" style="3"/>
    <col min="2576" max="2576" width="10.28515625" style="3" bestFit="1" customWidth="1"/>
    <col min="2577" max="2577" width="11.5703125" style="3"/>
    <col min="2578" max="2578" width="10.28515625" style="3" bestFit="1" customWidth="1"/>
    <col min="2579" max="2579" width="11.5703125" style="3"/>
    <col min="2580" max="2580" width="10.28515625" style="3" bestFit="1" customWidth="1"/>
    <col min="2581" max="2581" width="11.5703125" style="3"/>
    <col min="2582" max="2582" width="10.28515625" style="3" bestFit="1" customWidth="1"/>
    <col min="2583" max="2807" width="11.5703125" style="3"/>
    <col min="2808" max="2808" width="17.28515625" style="3" customWidth="1"/>
    <col min="2809" max="2809" width="7.140625" style="3" bestFit="1" customWidth="1"/>
    <col min="2810" max="2810" width="18.140625" style="3" customWidth="1"/>
    <col min="2811" max="2811" width="7.140625" style="3" bestFit="1" customWidth="1"/>
    <col min="2812" max="2812" width="21.140625" style="3" customWidth="1"/>
    <col min="2813" max="2814" width="0" style="3" hidden="1" customWidth="1"/>
    <col min="2815" max="2815" width="7.7109375" style="3" bestFit="1" customWidth="1"/>
    <col min="2816" max="2816" width="74" style="3" customWidth="1"/>
    <col min="2817" max="2817" width="10" style="3" customWidth="1"/>
    <col min="2818" max="2818" width="6.140625" style="3" bestFit="1" customWidth="1"/>
    <col min="2819" max="2819" width="11.5703125" style="3"/>
    <col min="2820" max="2820" width="10.28515625" style="3" bestFit="1" customWidth="1"/>
    <col min="2821" max="2821" width="11.5703125" style="3"/>
    <col min="2822" max="2822" width="10.28515625" style="3" bestFit="1" customWidth="1"/>
    <col min="2823" max="2823" width="11.5703125" style="3"/>
    <col min="2824" max="2824" width="10.28515625" style="3" bestFit="1" customWidth="1"/>
    <col min="2825" max="2825" width="11.5703125" style="3"/>
    <col min="2826" max="2826" width="10.28515625" style="3" bestFit="1" customWidth="1"/>
    <col min="2827" max="2827" width="11.5703125" style="3"/>
    <col min="2828" max="2828" width="10.28515625" style="3" bestFit="1" customWidth="1"/>
    <col min="2829" max="2829" width="11.5703125" style="3"/>
    <col min="2830" max="2830" width="10.28515625" style="3" bestFit="1" customWidth="1"/>
    <col min="2831" max="2831" width="11.5703125" style="3"/>
    <col min="2832" max="2832" width="10.28515625" style="3" bestFit="1" customWidth="1"/>
    <col min="2833" max="2833" width="11.5703125" style="3"/>
    <col min="2834" max="2834" width="10.28515625" style="3" bestFit="1" customWidth="1"/>
    <col min="2835" max="2835" width="11.5703125" style="3"/>
    <col min="2836" max="2836" width="10.28515625" style="3" bestFit="1" customWidth="1"/>
    <col min="2837" max="2837" width="11.5703125" style="3"/>
    <col min="2838" max="2838" width="10.28515625" style="3" bestFit="1" customWidth="1"/>
    <col min="2839" max="3063" width="11.5703125" style="3"/>
    <col min="3064" max="3064" width="17.28515625" style="3" customWidth="1"/>
    <col min="3065" max="3065" width="7.140625" style="3" bestFit="1" customWidth="1"/>
    <col min="3066" max="3066" width="18.140625" style="3" customWidth="1"/>
    <col min="3067" max="3067" width="7.140625" style="3" bestFit="1" customWidth="1"/>
    <col min="3068" max="3068" width="21.140625" style="3" customWidth="1"/>
    <col min="3069" max="3070" width="0" style="3" hidden="1" customWidth="1"/>
    <col min="3071" max="3071" width="7.7109375" style="3" bestFit="1" customWidth="1"/>
    <col min="3072" max="3072" width="74" style="3" customWidth="1"/>
    <col min="3073" max="3073" width="10" style="3" customWidth="1"/>
    <col min="3074" max="3074" width="6.140625" style="3" bestFit="1" customWidth="1"/>
    <col min="3075" max="3075" width="11.5703125" style="3"/>
    <col min="3076" max="3076" width="10.28515625" style="3" bestFit="1" customWidth="1"/>
    <col min="3077" max="3077" width="11.5703125" style="3"/>
    <col min="3078" max="3078" width="10.28515625" style="3" bestFit="1" customWidth="1"/>
    <col min="3079" max="3079" width="11.5703125" style="3"/>
    <col min="3080" max="3080" width="10.28515625" style="3" bestFit="1" customWidth="1"/>
    <col min="3081" max="3081" width="11.5703125" style="3"/>
    <col min="3082" max="3082" width="10.28515625" style="3" bestFit="1" customWidth="1"/>
    <col min="3083" max="3083" width="11.5703125" style="3"/>
    <col min="3084" max="3084" width="10.28515625" style="3" bestFit="1" customWidth="1"/>
    <col min="3085" max="3085" width="11.5703125" style="3"/>
    <col min="3086" max="3086" width="10.28515625" style="3" bestFit="1" customWidth="1"/>
    <col min="3087" max="3087" width="11.5703125" style="3"/>
    <col min="3088" max="3088" width="10.28515625" style="3" bestFit="1" customWidth="1"/>
    <col min="3089" max="3089" width="11.5703125" style="3"/>
    <col min="3090" max="3090" width="10.28515625" style="3" bestFit="1" customWidth="1"/>
    <col min="3091" max="3091" width="11.5703125" style="3"/>
    <col min="3092" max="3092" width="10.28515625" style="3" bestFit="1" customWidth="1"/>
    <col min="3093" max="3093" width="11.5703125" style="3"/>
    <col min="3094" max="3094" width="10.28515625" style="3" bestFit="1" customWidth="1"/>
    <col min="3095" max="3319" width="11.5703125" style="3"/>
    <col min="3320" max="3320" width="17.28515625" style="3" customWidth="1"/>
    <col min="3321" max="3321" width="7.140625" style="3" bestFit="1" customWidth="1"/>
    <col min="3322" max="3322" width="18.140625" style="3" customWidth="1"/>
    <col min="3323" max="3323" width="7.140625" style="3" bestFit="1" customWidth="1"/>
    <col min="3324" max="3324" width="21.140625" style="3" customWidth="1"/>
    <col min="3325" max="3326" width="0" style="3" hidden="1" customWidth="1"/>
    <col min="3327" max="3327" width="7.7109375" style="3" bestFit="1" customWidth="1"/>
    <col min="3328" max="3328" width="74" style="3" customWidth="1"/>
    <col min="3329" max="3329" width="10" style="3" customWidth="1"/>
    <col min="3330" max="3330" width="6.140625" style="3" bestFit="1" customWidth="1"/>
    <col min="3331" max="3331" width="11.5703125" style="3"/>
    <col min="3332" max="3332" width="10.28515625" style="3" bestFit="1" customWidth="1"/>
    <col min="3333" max="3333" width="11.5703125" style="3"/>
    <col min="3334" max="3334" width="10.28515625" style="3" bestFit="1" customWidth="1"/>
    <col min="3335" max="3335" width="11.5703125" style="3"/>
    <col min="3336" max="3336" width="10.28515625" style="3" bestFit="1" customWidth="1"/>
    <col min="3337" max="3337" width="11.5703125" style="3"/>
    <col min="3338" max="3338" width="10.28515625" style="3" bestFit="1" customWidth="1"/>
    <col min="3339" max="3339" width="11.5703125" style="3"/>
    <col min="3340" max="3340" width="10.28515625" style="3" bestFit="1" customWidth="1"/>
    <col min="3341" max="3341" width="11.5703125" style="3"/>
    <col min="3342" max="3342" width="10.28515625" style="3" bestFit="1" customWidth="1"/>
    <col min="3343" max="3343" width="11.5703125" style="3"/>
    <col min="3344" max="3344" width="10.28515625" style="3" bestFit="1" customWidth="1"/>
    <col min="3345" max="3345" width="11.5703125" style="3"/>
    <col min="3346" max="3346" width="10.28515625" style="3" bestFit="1" customWidth="1"/>
    <col min="3347" max="3347" width="11.5703125" style="3"/>
    <col min="3348" max="3348" width="10.28515625" style="3" bestFit="1" customWidth="1"/>
    <col min="3349" max="3349" width="11.5703125" style="3"/>
    <col min="3350" max="3350" width="10.28515625" style="3" bestFit="1" customWidth="1"/>
    <col min="3351" max="3575" width="11.5703125" style="3"/>
    <col min="3576" max="3576" width="17.28515625" style="3" customWidth="1"/>
    <col min="3577" max="3577" width="7.140625" style="3" bestFit="1" customWidth="1"/>
    <col min="3578" max="3578" width="18.140625" style="3" customWidth="1"/>
    <col min="3579" max="3579" width="7.140625" style="3" bestFit="1" customWidth="1"/>
    <col min="3580" max="3580" width="21.140625" style="3" customWidth="1"/>
    <col min="3581" max="3582" width="0" style="3" hidden="1" customWidth="1"/>
    <col min="3583" max="3583" width="7.7109375" style="3" bestFit="1" customWidth="1"/>
    <col min="3584" max="3584" width="74" style="3" customWidth="1"/>
    <col min="3585" max="3585" width="10" style="3" customWidth="1"/>
    <col min="3586" max="3586" width="6.140625" style="3" bestFit="1" customWidth="1"/>
    <col min="3587" max="3587" width="11.5703125" style="3"/>
    <col min="3588" max="3588" width="10.28515625" style="3" bestFit="1" customWidth="1"/>
    <col min="3589" max="3589" width="11.5703125" style="3"/>
    <col min="3590" max="3590" width="10.28515625" style="3" bestFit="1" customWidth="1"/>
    <col min="3591" max="3591" width="11.5703125" style="3"/>
    <col min="3592" max="3592" width="10.28515625" style="3" bestFit="1" customWidth="1"/>
    <col min="3593" max="3593" width="11.5703125" style="3"/>
    <col min="3594" max="3594" width="10.28515625" style="3" bestFit="1" customWidth="1"/>
    <col min="3595" max="3595" width="11.5703125" style="3"/>
    <col min="3596" max="3596" width="10.28515625" style="3" bestFit="1" customWidth="1"/>
    <col min="3597" max="3597" width="11.5703125" style="3"/>
    <col min="3598" max="3598" width="10.28515625" style="3" bestFit="1" customWidth="1"/>
    <col min="3599" max="3599" width="11.5703125" style="3"/>
    <col min="3600" max="3600" width="10.28515625" style="3" bestFit="1" customWidth="1"/>
    <col min="3601" max="3601" width="11.5703125" style="3"/>
    <col min="3602" max="3602" width="10.28515625" style="3" bestFit="1" customWidth="1"/>
    <col min="3603" max="3603" width="11.5703125" style="3"/>
    <col min="3604" max="3604" width="10.28515625" style="3" bestFit="1" customWidth="1"/>
    <col min="3605" max="3605" width="11.5703125" style="3"/>
    <col min="3606" max="3606" width="10.28515625" style="3" bestFit="1" customWidth="1"/>
    <col min="3607" max="3831" width="11.5703125" style="3"/>
    <col min="3832" max="3832" width="17.28515625" style="3" customWidth="1"/>
    <col min="3833" max="3833" width="7.140625" style="3" bestFit="1" customWidth="1"/>
    <col min="3834" max="3834" width="18.140625" style="3" customWidth="1"/>
    <col min="3835" max="3835" width="7.140625" style="3" bestFit="1" customWidth="1"/>
    <col min="3836" max="3836" width="21.140625" style="3" customWidth="1"/>
    <col min="3837" max="3838" width="0" style="3" hidden="1" customWidth="1"/>
    <col min="3839" max="3839" width="7.7109375" style="3" bestFit="1" customWidth="1"/>
    <col min="3840" max="3840" width="74" style="3" customWidth="1"/>
    <col min="3841" max="3841" width="10" style="3" customWidth="1"/>
    <col min="3842" max="3842" width="6.140625" style="3" bestFit="1" customWidth="1"/>
    <col min="3843" max="3843" width="11.5703125" style="3"/>
    <col min="3844" max="3844" width="10.28515625" style="3" bestFit="1" customWidth="1"/>
    <col min="3845" max="3845" width="11.5703125" style="3"/>
    <col min="3846" max="3846" width="10.28515625" style="3" bestFit="1" customWidth="1"/>
    <col min="3847" max="3847" width="11.5703125" style="3"/>
    <col min="3848" max="3848" width="10.28515625" style="3" bestFit="1" customWidth="1"/>
    <col min="3849" max="3849" width="11.5703125" style="3"/>
    <col min="3850" max="3850" width="10.28515625" style="3" bestFit="1" customWidth="1"/>
    <col min="3851" max="3851" width="11.5703125" style="3"/>
    <col min="3852" max="3852" width="10.28515625" style="3" bestFit="1" customWidth="1"/>
    <col min="3853" max="3853" width="11.5703125" style="3"/>
    <col min="3854" max="3854" width="10.28515625" style="3" bestFit="1" customWidth="1"/>
    <col min="3855" max="3855" width="11.5703125" style="3"/>
    <col min="3856" max="3856" width="10.28515625" style="3" bestFit="1" customWidth="1"/>
    <col min="3857" max="3857" width="11.5703125" style="3"/>
    <col min="3858" max="3858" width="10.28515625" style="3" bestFit="1" customWidth="1"/>
    <col min="3859" max="3859" width="11.5703125" style="3"/>
    <col min="3860" max="3860" width="10.28515625" style="3" bestFit="1" customWidth="1"/>
    <col min="3861" max="3861" width="11.5703125" style="3"/>
    <col min="3862" max="3862" width="10.28515625" style="3" bestFit="1" customWidth="1"/>
    <col min="3863" max="4087" width="11.5703125" style="3"/>
    <col min="4088" max="4088" width="17.28515625" style="3" customWidth="1"/>
    <col min="4089" max="4089" width="7.140625" style="3" bestFit="1" customWidth="1"/>
    <col min="4090" max="4090" width="18.140625" style="3" customWidth="1"/>
    <col min="4091" max="4091" width="7.140625" style="3" bestFit="1" customWidth="1"/>
    <col min="4092" max="4092" width="21.140625" style="3" customWidth="1"/>
    <col min="4093" max="4094" width="0" style="3" hidden="1" customWidth="1"/>
    <col min="4095" max="4095" width="7.7109375" style="3" bestFit="1" customWidth="1"/>
    <col min="4096" max="4096" width="74" style="3" customWidth="1"/>
    <col min="4097" max="4097" width="10" style="3" customWidth="1"/>
    <col min="4098" max="4098" width="6.140625" style="3" bestFit="1" customWidth="1"/>
    <col min="4099" max="4099" width="11.5703125" style="3"/>
    <col min="4100" max="4100" width="10.28515625" style="3" bestFit="1" customWidth="1"/>
    <col min="4101" max="4101" width="11.5703125" style="3"/>
    <col min="4102" max="4102" width="10.28515625" style="3" bestFit="1" customWidth="1"/>
    <col min="4103" max="4103" width="11.5703125" style="3"/>
    <col min="4104" max="4104" width="10.28515625" style="3" bestFit="1" customWidth="1"/>
    <col min="4105" max="4105" width="11.5703125" style="3"/>
    <col min="4106" max="4106" width="10.28515625" style="3" bestFit="1" customWidth="1"/>
    <col min="4107" max="4107" width="11.5703125" style="3"/>
    <col min="4108" max="4108" width="10.28515625" style="3" bestFit="1" customWidth="1"/>
    <col min="4109" max="4109" width="11.5703125" style="3"/>
    <col min="4110" max="4110" width="10.28515625" style="3" bestFit="1" customWidth="1"/>
    <col min="4111" max="4111" width="11.5703125" style="3"/>
    <col min="4112" max="4112" width="10.28515625" style="3" bestFit="1" customWidth="1"/>
    <col min="4113" max="4113" width="11.5703125" style="3"/>
    <col min="4114" max="4114" width="10.28515625" style="3" bestFit="1" customWidth="1"/>
    <col min="4115" max="4115" width="11.5703125" style="3"/>
    <col min="4116" max="4116" width="10.28515625" style="3" bestFit="1" customWidth="1"/>
    <col min="4117" max="4117" width="11.5703125" style="3"/>
    <col min="4118" max="4118" width="10.28515625" style="3" bestFit="1" customWidth="1"/>
    <col min="4119" max="4343" width="11.5703125" style="3"/>
    <col min="4344" max="4344" width="17.28515625" style="3" customWidth="1"/>
    <col min="4345" max="4345" width="7.140625" style="3" bestFit="1" customWidth="1"/>
    <col min="4346" max="4346" width="18.140625" style="3" customWidth="1"/>
    <col min="4347" max="4347" width="7.140625" style="3" bestFit="1" customWidth="1"/>
    <col min="4348" max="4348" width="21.140625" style="3" customWidth="1"/>
    <col min="4349" max="4350" width="0" style="3" hidden="1" customWidth="1"/>
    <col min="4351" max="4351" width="7.7109375" style="3" bestFit="1" customWidth="1"/>
    <col min="4352" max="4352" width="74" style="3" customWidth="1"/>
    <col min="4353" max="4353" width="10" style="3" customWidth="1"/>
    <col min="4354" max="4354" width="6.140625" style="3" bestFit="1" customWidth="1"/>
    <col min="4355" max="4355" width="11.5703125" style="3"/>
    <col min="4356" max="4356" width="10.28515625" style="3" bestFit="1" customWidth="1"/>
    <col min="4357" max="4357" width="11.5703125" style="3"/>
    <col min="4358" max="4358" width="10.28515625" style="3" bestFit="1" customWidth="1"/>
    <col min="4359" max="4359" width="11.5703125" style="3"/>
    <col min="4360" max="4360" width="10.28515625" style="3" bestFit="1" customWidth="1"/>
    <col min="4361" max="4361" width="11.5703125" style="3"/>
    <col min="4362" max="4362" width="10.28515625" style="3" bestFit="1" customWidth="1"/>
    <col min="4363" max="4363" width="11.5703125" style="3"/>
    <col min="4364" max="4364" width="10.28515625" style="3" bestFit="1" customWidth="1"/>
    <col min="4365" max="4365" width="11.5703125" style="3"/>
    <col min="4366" max="4366" width="10.28515625" style="3" bestFit="1" customWidth="1"/>
    <col min="4367" max="4367" width="11.5703125" style="3"/>
    <col min="4368" max="4368" width="10.28515625" style="3" bestFit="1" customWidth="1"/>
    <col min="4369" max="4369" width="11.5703125" style="3"/>
    <col min="4370" max="4370" width="10.28515625" style="3" bestFit="1" customWidth="1"/>
    <col min="4371" max="4371" width="11.5703125" style="3"/>
    <col min="4372" max="4372" width="10.28515625" style="3" bestFit="1" customWidth="1"/>
    <col min="4373" max="4373" width="11.5703125" style="3"/>
    <col min="4374" max="4374" width="10.28515625" style="3" bestFit="1" customWidth="1"/>
    <col min="4375" max="4599" width="11.5703125" style="3"/>
    <col min="4600" max="4600" width="17.28515625" style="3" customWidth="1"/>
    <col min="4601" max="4601" width="7.140625" style="3" bestFit="1" customWidth="1"/>
    <col min="4602" max="4602" width="18.140625" style="3" customWidth="1"/>
    <col min="4603" max="4603" width="7.140625" style="3" bestFit="1" customWidth="1"/>
    <col min="4604" max="4604" width="21.140625" style="3" customWidth="1"/>
    <col min="4605" max="4606" width="0" style="3" hidden="1" customWidth="1"/>
    <col min="4607" max="4607" width="7.7109375" style="3" bestFit="1" customWidth="1"/>
    <col min="4608" max="4608" width="74" style="3" customWidth="1"/>
    <col min="4609" max="4609" width="10" style="3" customWidth="1"/>
    <col min="4610" max="4610" width="6.140625" style="3" bestFit="1" customWidth="1"/>
    <col min="4611" max="4611" width="11.5703125" style="3"/>
    <col min="4612" max="4612" width="10.28515625" style="3" bestFit="1" customWidth="1"/>
    <col min="4613" max="4613" width="11.5703125" style="3"/>
    <col min="4614" max="4614" width="10.28515625" style="3" bestFit="1" customWidth="1"/>
    <col min="4615" max="4615" width="11.5703125" style="3"/>
    <col min="4616" max="4616" width="10.28515625" style="3" bestFit="1" customWidth="1"/>
    <col min="4617" max="4617" width="11.5703125" style="3"/>
    <col min="4618" max="4618" width="10.28515625" style="3" bestFit="1" customWidth="1"/>
    <col min="4619" max="4619" width="11.5703125" style="3"/>
    <col min="4620" max="4620" width="10.28515625" style="3" bestFit="1" customWidth="1"/>
    <col min="4621" max="4621" width="11.5703125" style="3"/>
    <col min="4622" max="4622" width="10.28515625" style="3" bestFit="1" customWidth="1"/>
    <col min="4623" max="4623" width="11.5703125" style="3"/>
    <col min="4624" max="4624" width="10.28515625" style="3" bestFit="1" customWidth="1"/>
    <col min="4625" max="4625" width="11.5703125" style="3"/>
    <col min="4626" max="4626" width="10.28515625" style="3" bestFit="1" customWidth="1"/>
    <col min="4627" max="4627" width="11.5703125" style="3"/>
    <col min="4628" max="4628" width="10.28515625" style="3" bestFit="1" customWidth="1"/>
    <col min="4629" max="4629" width="11.5703125" style="3"/>
    <col min="4630" max="4630" width="10.28515625" style="3" bestFit="1" customWidth="1"/>
    <col min="4631" max="4855" width="11.5703125" style="3"/>
    <col min="4856" max="4856" width="17.28515625" style="3" customWidth="1"/>
    <col min="4857" max="4857" width="7.140625" style="3" bestFit="1" customWidth="1"/>
    <col min="4858" max="4858" width="18.140625" style="3" customWidth="1"/>
    <col min="4859" max="4859" width="7.140625" style="3" bestFit="1" customWidth="1"/>
    <col min="4860" max="4860" width="21.140625" style="3" customWidth="1"/>
    <col min="4861" max="4862" width="0" style="3" hidden="1" customWidth="1"/>
    <col min="4863" max="4863" width="7.7109375" style="3" bestFit="1" customWidth="1"/>
    <col min="4864" max="4864" width="74" style="3" customWidth="1"/>
    <col min="4865" max="4865" width="10" style="3" customWidth="1"/>
    <col min="4866" max="4866" width="6.140625" style="3" bestFit="1" customWidth="1"/>
    <col min="4867" max="4867" width="11.5703125" style="3"/>
    <col min="4868" max="4868" width="10.28515625" style="3" bestFit="1" customWidth="1"/>
    <col min="4869" max="4869" width="11.5703125" style="3"/>
    <col min="4870" max="4870" width="10.28515625" style="3" bestFit="1" customWidth="1"/>
    <col min="4871" max="4871" width="11.5703125" style="3"/>
    <col min="4872" max="4872" width="10.28515625" style="3" bestFit="1" customWidth="1"/>
    <col min="4873" max="4873" width="11.5703125" style="3"/>
    <col min="4874" max="4874" width="10.28515625" style="3" bestFit="1" customWidth="1"/>
    <col min="4875" max="4875" width="11.5703125" style="3"/>
    <col min="4876" max="4876" width="10.28515625" style="3" bestFit="1" customWidth="1"/>
    <col min="4877" max="4877" width="11.5703125" style="3"/>
    <col min="4878" max="4878" width="10.28515625" style="3" bestFit="1" customWidth="1"/>
    <col min="4879" max="4879" width="11.5703125" style="3"/>
    <col min="4880" max="4880" width="10.28515625" style="3" bestFit="1" customWidth="1"/>
    <col min="4881" max="4881" width="11.5703125" style="3"/>
    <col min="4882" max="4882" width="10.28515625" style="3" bestFit="1" customWidth="1"/>
    <col min="4883" max="4883" width="11.5703125" style="3"/>
    <col min="4884" max="4884" width="10.28515625" style="3" bestFit="1" customWidth="1"/>
    <col min="4885" max="4885" width="11.5703125" style="3"/>
    <col min="4886" max="4886" width="10.28515625" style="3" bestFit="1" customWidth="1"/>
    <col min="4887" max="5111" width="11.5703125" style="3"/>
    <col min="5112" max="5112" width="17.28515625" style="3" customWidth="1"/>
    <col min="5113" max="5113" width="7.140625" style="3" bestFit="1" customWidth="1"/>
    <col min="5114" max="5114" width="18.140625" style="3" customWidth="1"/>
    <col min="5115" max="5115" width="7.140625" style="3" bestFit="1" customWidth="1"/>
    <col min="5116" max="5116" width="21.140625" style="3" customWidth="1"/>
    <col min="5117" max="5118" width="0" style="3" hidden="1" customWidth="1"/>
    <col min="5119" max="5119" width="7.7109375" style="3" bestFit="1" customWidth="1"/>
    <col min="5120" max="5120" width="74" style="3" customWidth="1"/>
    <col min="5121" max="5121" width="10" style="3" customWidth="1"/>
    <col min="5122" max="5122" width="6.140625" style="3" bestFit="1" customWidth="1"/>
    <col min="5123" max="5123" width="11.5703125" style="3"/>
    <col min="5124" max="5124" width="10.28515625" style="3" bestFit="1" customWidth="1"/>
    <col min="5125" max="5125" width="11.5703125" style="3"/>
    <col min="5126" max="5126" width="10.28515625" style="3" bestFit="1" customWidth="1"/>
    <col min="5127" max="5127" width="11.5703125" style="3"/>
    <col min="5128" max="5128" width="10.28515625" style="3" bestFit="1" customWidth="1"/>
    <col min="5129" max="5129" width="11.5703125" style="3"/>
    <col min="5130" max="5130" width="10.28515625" style="3" bestFit="1" customWidth="1"/>
    <col min="5131" max="5131" width="11.5703125" style="3"/>
    <col min="5132" max="5132" width="10.28515625" style="3" bestFit="1" customWidth="1"/>
    <col min="5133" max="5133" width="11.5703125" style="3"/>
    <col min="5134" max="5134" width="10.28515625" style="3" bestFit="1" customWidth="1"/>
    <col min="5135" max="5135" width="11.5703125" style="3"/>
    <col min="5136" max="5136" width="10.28515625" style="3" bestFit="1" customWidth="1"/>
    <col min="5137" max="5137" width="11.5703125" style="3"/>
    <col min="5138" max="5138" width="10.28515625" style="3" bestFit="1" customWidth="1"/>
    <col min="5139" max="5139" width="11.5703125" style="3"/>
    <col min="5140" max="5140" width="10.28515625" style="3" bestFit="1" customWidth="1"/>
    <col min="5141" max="5141" width="11.5703125" style="3"/>
    <col min="5142" max="5142" width="10.28515625" style="3" bestFit="1" customWidth="1"/>
    <col min="5143" max="5367" width="11.5703125" style="3"/>
    <col min="5368" max="5368" width="17.28515625" style="3" customWidth="1"/>
    <col min="5369" max="5369" width="7.140625" style="3" bestFit="1" customWidth="1"/>
    <col min="5370" max="5370" width="18.140625" style="3" customWidth="1"/>
    <col min="5371" max="5371" width="7.140625" style="3" bestFit="1" customWidth="1"/>
    <col min="5372" max="5372" width="21.140625" style="3" customWidth="1"/>
    <col min="5373" max="5374" width="0" style="3" hidden="1" customWidth="1"/>
    <col min="5375" max="5375" width="7.7109375" style="3" bestFit="1" customWidth="1"/>
    <col min="5376" max="5376" width="74" style="3" customWidth="1"/>
    <col min="5377" max="5377" width="10" style="3" customWidth="1"/>
    <col min="5378" max="5378" width="6.140625" style="3" bestFit="1" customWidth="1"/>
    <col min="5379" max="5379" width="11.5703125" style="3"/>
    <col min="5380" max="5380" width="10.28515625" style="3" bestFit="1" customWidth="1"/>
    <col min="5381" max="5381" width="11.5703125" style="3"/>
    <col min="5382" max="5382" width="10.28515625" style="3" bestFit="1" customWidth="1"/>
    <col min="5383" max="5383" width="11.5703125" style="3"/>
    <col min="5384" max="5384" width="10.28515625" style="3" bestFit="1" customWidth="1"/>
    <col min="5385" max="5385" width="11.5703125" style="3"/>
    <col min="5386" max="5386" width="10.28515625" style="3" bestFit="1" customWidth="1"/>
    <col min="5387" max="5387" width="11.5703125" style="3"/>
    <col min="5388" max="5388" width="10.28515625" style="3" bestFit="1" customWidth="1"/>
    <col min="5389" max="5389" width="11.5703125" style="3"/>
    <col min="5390" max="5390" width="10.28515625" style="3" bestFit="1" customWidth="1"/>
    <col min="5391" max="5391" width="11.5703125" style="3"/>
    <col min="5392" max="5392" width="10.28515625" style="3" bestFit="1" customWidth="1"/>
    <col min="5393" max="5393" width="11.5703125" style="3"/>
    <col min="5394" max="5394" width="10.28515625" style="3" bestFit="1" customWidth="1"/>
    <col min="5395" max="5395" width="11.5703125" style="3"/>
    <col min="5396" max="5396" width="10.28515625" style="3" bestFit="1" customWidth="1"/>
    <col min="5397" max="5397" width="11.5703125" style="3"/>
    <col min="5398" max="5398" width="10.28515625" style="3" bestFit="1" customWidth="1"/>
    <col min="5399" max="5623" width="11.5703125" style="3"/>
    <col min="5624" max="5624" width="17.28515625" style="3" customWidth="1"/>
    <col min="5625" max="5625" width="7.140625" style="3" bestFit="1" customWidth="1"/>
    <col min="5626" max="5626" width="18.140625" style="3" customWidth="1"/>
    <col min="5627" max="5627" width="7.140625" style="3" bestFit="1" customWidth="1"/>
    <col min="5628" max="5628" width="21.140625" style="3" customWidth="1"/>
    <col min="5629" max="5630" width="0" style="3" hidden="1" customWidth="1"/>
    <col min="5631" max="5631" width="7.7109375" style="3" bestFit="1" customWidth="1"/>
    <col min="5632" max="5632" width="74" style="3" customWidth="1"/>
    <col min="5633" max="5633" width="10" style="3" customWidth="1"/>
    <col min="5634" max="5634" width="6.140625" style="3" bestFit="1" customWidth="1"/>
    <col min="5635" max="5635" width="11.5703125" style="3"/>
    <col min="5636" max="5636" width="10.28515625" style="3" bestFit="1" customWidth="1"/>
    <col min="5637" max="5637" width="11.5703125" style="3"/>
    <col min="5638" max="5638" width="10.28515625" style="3" bestFit="1" customWidth="1"/>
    <col min="5639" max="5639" width="11.5703125" style="3"/>
    <col min="5640" max="5640" width="10.28515625" style="3" bestFit="1" customWidth="1"/>
    <col min="5641" max="5641" width="11.5703125" style="3"/>
    <col min="5642" max="5642" width="10.28515625" style="3" bestFit="1" customWidth="1"/>
    <col min="5643" max="5643" width="11.5703125" style="3"/>
    <col min="5644" max="5644" width="10.28515625" style="3" bestFit="1" customWidth="1"/>
    <col min="5645" max="5645" width="11.5703125" style="3"/>
    <col min="5646" max="5646" width="10.28515625" style="3" bestFit="1" customWidth="1"/>
    <col min="5647" max="5647" width="11.5703125" style="3"/>
    <col min="5648" max="5648" width="10.28515625" style="3" bestFit="1" customWidth="1"/>
    <col min="5649" max="5649" width="11.5703125" style="3"/>
    <col min="5650" max="5650" width="10.28515625" style="3" bestFit="1" customWidth="1"/>
    <col min="5651" max="5651" width="11.5703125" style="3"/>
    <col min="5652" max="5652" width="10.28515625" style="3" bestFit="1" customWidth="1"/>
    <col min="5653" max="5653" width="11.5703125" style="3"/>
    <col min="5654" max="5654" width="10.28515625" style="3" bestFit="1" customWidth="1"/>
    <col min="5655" max="5879" width="11.5703125" style="3"/>
    <col min="5880" max="5880" width="17.28515625" style="3" customWidth="1"/>
    <col min="5881" max="5881" width="7.140625" style="3" bestFit="1" customWidth="1"/>
    <col min="5882" max="5882" width="18.140625" style="3" customWidth="1"/>
    <col min="5883" max="5883" width="7.140625" style="3" bestFit="1" customWidth="1"/>
    <col min="5884" max="5884" width="21.140625" style="3" customWidth="1"/>
    <col min="5885" max="5886" width="0" style="3" hidden="1" customWidth="1"/>
    <col min="5887" max="5887" width="7.7109375" style="3" bestFit="1" customWidth="1"/>
    <col min="5888" max="5888" width="74" style="3" customWidth="1"/>
    <col min="5889" max="5889" width="10" style="3" customWidth="1"/>
    <col min="5890" max="5890" width="6.140625" style="3" bestFit="1" customWidth="1"/>
    <col min="5891" max="5891" width="11.5703125" style="3"/>
    <col min="5892" max="5892" width="10.28515625" style="3" bestFit="1" customWidth="1"/>
    <col min="5893" max="5893" width="11.5703125" style="3"/>
    <col min="5894" max="5894" width="10.28515625" style="3" bestFit="1" customWidth="1"/>
    <col min="5895" max="5895" width="11.5703125" style="3"/>
    <col min="5896" max="5896" width="10.28515625" style="3" bestFit="1" customWidth="1"/>
    <col min="5897" max="5897" width="11.5703125" style="3"/>
    <col min="5898" max="5898" width="10.28515625" style="3" bestFit="1" customWidth="1"/>
    <col min="5899" max="5899" width="11.5703125" style="3"/>
    <col min="5900" max="5900" width="10.28515625" style="3" bestFit="1" customWidth="1"/>
    <col min="5901" max="5901" width="11.5703125" style="3"/>
    <col min="5902" max="5902" width="10.28515625" style="3" bestFit="1" customWidth="1"/>
    <col min="5903" max="5903" width="11.5703125" style="3"/>
    <col min="5904" max="5904" width="10.28515625" style="3" bestFit="1" customWidth="1"/>
    <col min="5905" max="5905" width="11.5703125" style="3"/>
    <col min="5906" max="5906" width="10.28515625" style="3" bestFit="1" customWidth="1"/>
    <col min="5907" max="5907" width="11.5703125" style="3"/>
    <col min="5908" max="5908" width="10.28515625" style="3" bestFit="1" customWidth="1"/>
    <col min="5909" max="5909" width="11.5703125" style="3"/>
    <col min="5910" max="5910" width="10.28515625" style="3" bestFit="1" customWidth="1"/>
    <col min="5911" max="6135" width="11.5703125" style="3"/>
    <col min="6136" max="6136" width="17.28515625" style="3" customWidth="1"/>
    <col min="6137" max="6137" width="7.140625" style="3" bestFit="1" customWidth="1"/>
    <col min="6138" max="6138" width="18.140625" style="3" customWidth="1"/>
    <col min="6139" max="6139" width="7.140625" style="3" bestFit="1" customWidth="1"/>
    <col min="6140" max="6140" width="21.140625" style="3" customWidth="1"/>
    <col min="6141" max="6142" width="0" style="3" hidden="1" customWidth="1"/>
    <col min="6143" max="6143" width="7.7109375" style="3" bestFit="1" customWidth="1"/>
    <col min="6144" max="6144" width="74" style="3" customWidth="1"/>
    <col min="6145" max="6145" width="10" style="3" customWidth="1"/>
    <col min="6146" max="6146" width="6.140625" style="3" bestFit="1" customWidth="1"/>
    <col min="6147" max="6147" width="11.5703125" style="3"/>
    <col min="6148" max="6148" width="10.28515625" style="3" bestFit="1" customWidth="1"/>
    <col min="6149" max="6149" width="11.5703125" style="3"/>
    <col min="6150" max="6150" width="10.28515625" style="3" bestFit="1" customWidth="1"/>
    <col min="6151" max="6151" width="11.5703125" style="3"/>
    <col min="6152" max="6152" width="10.28515625" style="3" bestFit="1" customWidth="1"/>
    <col min="6153" max="6153" width="11.5703125" style="3"/>
    <col min="6154" max="6154" width="10.28515625" style="3" bestFit="1" customWidth="1"/>
    <col min="6155" max="6155" width="11.5703125" style="3"/>
    <col min="6156" max="6156" width="10.28515625" style="3" bestFit="1" customWidth="1"/>
    <col min="6157" max="6157" width="11.5703125" style="3"/>
    <col min="6158" max="6158" width="10.28515625" style="3" bestFit="1" customWidth="1"/>
    <col min="6159" max="6159" width="11.5703125" style="3"/>
    <col min="6160" max="6160" width="10.28515625" style="3" bestFit="1" customWidth="1"/>
    <col min="6161" max="6161" width="11.5703125" style="3"/>
    <col min="6162" max="6162" width="10.28515625" style="3" bestFit="1" customWidth="1"/>
    <col min="6163" max="6163" width="11.5703125" style="3"/>
    <col min="6164" max="6164" width="10.28515625" style="3" bestFit="1" customWidth="1"/>
    <col min="6165" max="6165" width="11.5703125" style="3"/>
    <col min="6166" max="6166" width="10.28515625" style="3" bestFit="1" customWidth="1"/>
    <col min="6167" max="6391" width="11.5703125" style="3"/>
    <col min="6392" max="6392" width="17.28515625" style="3" customWidth="1"/>
    <col min="6393" max="6393" width="7.140625" style="3" bestFit="1" customWidth="1"/>
    <col min="6394" max="6394" width="18.140625" style="3" customWidth="1"/>
    <col min="6395" max="6395" width="7.140625" style="3" bestFit="1" customWidth="1"/>
    <col min="6396" max="6396" width="21.140625" style="3" customWidth="1"/>
    <col min="6397" max="6398" width="0" style="3" hidden="1" customWidth="1"/>
    <col min="6399" max="6399" width="7.7109375" style="3" bestFit="1" customWidth="1"/>
    <col min="6400" max="6400" width="74" style="3" customWidth="1"/>
    <col min="6401" max="6401" width="10" style="3" customWidth="1"/>
    <col min="6402" max="6402" width="6.140625" style="3" bestFit="1" customWidth="1"/>
    <col min="6403" max="6403" width="11.5703125" style="3"/>
    <col min="6404" max="6404" width="10.28515625" style="3" bestFit="1" customWidth="1"/>
    <col min="6405" max="6405" width="11.5703125" style="3"/>
    <col min="6406" max="6406" width="10.28515625" style="3" bestFit="1" customWidth="1"/>
    <col min="6407" max="6407" width="11.5703125" style="3"/>
    <col min="6408" max="6408" width="10.28515625" style="3" bestFit="1" customWidth="1"/>
    <col min="6409" max="6409" width="11.5703125" style="3"/>
    <col min="6410" max="6410" width="10.28515625" style="3" bestFit="1" customWidth="1"/>
    <col min="6411" max="6411" width="11.5703125" style="3"/>
    <col min="6412" max="6412" width="10.28515625" style="3" bestFit="1" customWidth="1"/>
    <col min="6413" max="6413" width="11.5703125" style="3"/>
    <col min="6414" max="6414" width="10.28515625" style="3" bestFit="1" customWidth="1"/>
    <col min="6415" max="6415" width="11.5703125" style="3"/>
    <col min="6416" max="6416" width="10.28515625" style="3" bestFit="1" customWidth="1"/>
    <col min="6417" max="6417" width="11.5703125" style="3"/>
    <col min="6418" max="6418" width="10.28515625" style="3" bestFit="1" customWidth="1"/>
    <col min="6419" max="6419" width="11.5703125" style="3"/>
    <col min="6420" max="6420" width="10.28515625" style="3" bestFit="1" customWidth="1"/>
    <col min="6421" max="6421" width="11.5703125" style="3"/>
    <col min="6422" max="6422" width="10.28515625" style="3" bestFit="1" customWidth="1"/>
    <col min="6423" max="6647" width="11.5703125" style="3"/>
    <col min="6648" max="6648" width="17.28515625" style="3" customWidth="1"/>
    <col min="6649" max="6649" width="7.140625" style="3" bestFit="1" customWidth="1"/>
    <col min="6650" max="6650" width="18.140625" style="3" customWidth="1"/>
    <col min="6651" max="6651" width="7.140625" style="3" bestFit="1" customWidth="1"/>
    <col min="6652" max="6652" width="21.140625" style="3" customWidth="1"/>
    <col min="6653" max="6654" width="0" style="3" hidden="1" customWidth="1"/>
    <col min="6655" max="6655" width="7.7109375" style="3" bestFit="1" customWidth="1"/>
    <col min="6656" max="6656" width="74" style="3" customWidth="1"/>
    <col min="6657" max="6657" width="10" style="3" customWidth="1"/>
    <col min="6658" max="6658" width="6.140625" style="3" bestFit="1" customWidth="1"/>
    <col min="6659" max="6659" width="11.5703125" style="3"/>
    <col min="6660" max="6660" width="10.28515625" style="3" bestFit="1" customWidth="1"/>
    <col min="6661" max="6661" width="11.5703125" style="3"/>
    <col min="6662" max="6662" width="10.28515625" style="3" bestFit="1" customWidth="1"/>
    <col min="6663" max="6663" width="11.5703125" style="3"/>
    <col min="6664" max="6664" width="10.28515625" style="3" bestFit="1" customWidth="1"/>
    <col min="6665" max="6665" width="11.5703125" style="3"/>
    <col min="6666" max="6666" width="10.28515625" style="3" bestFit="1" customWidth="1"/>
    <col min="6667" max="6667" width="11.5703125" style="3"/>
    <col min="6668" max="6668" width="10.28515625" style="3" bestFit="1" customWidth="1"/>
    <col min="6669" max="6669" width="11.5703125" style="3"/>
    <col min="6670" max="6670" width="10.28515625" style="3" bestFit="1" customWidth="1"/>
    <col min="6671" max="6671" width="11.5703125" style="3"/>
    <col min="6672" max="6672" width="10.28515625" style="3" bestFit="1" customWidth="1"/>
    <col min="6673" max="6673" width="11.5703125" style="3"/>
    <col min="6674" max="6674" width="10.28515625" style="3" bestFit="1" customWidth="1"/>
    <col min="6675" max="6675" width="11.5703125" style="3"/>
    <col min="6676" max="6676" width="10.28515625" style="3" bestFit="1" customWidth="1"/>
    <col min="6677" max="6677" width="11.5703125" style="3"/>
    <col min="6678" max="6678" width="10.28515625" style="3" bestFit="1" customWidth="1"/>
    <col min="6679" max="6903" width="11.5703125" style="3"/>
    <col min="6904" max="6904" width="17.28515625" style="3" customWidth="1"/>
    <col min="6905" max="6905" width="7.140625" style="3" bestFit="1" customWidth="1"/>
    <col min="6906" max="6906" width="18.140625" style="3" customWidth="1"/>
    <col min="6907" max="6907" width="7.140625" style="3" bestFit="1" customWidth="1"/>
    <col min="6908" max="6908" width="21.140625" style="3" customWidth="1"/>
    <col min="6909" max="6910" width="0" style="3" hidden="1" customWidth="1"/>
    <col min="6911" max="6911" width="7.7109375" style="3" bestFit="1" customWidth="1"/>
    <col min="6912" max="6912" width="74" style="3" customWidth="1"/>
    <col min="6913" max="6913" width="10" style="3" customWidth="1"/>
    <col min="6914" max="6914" width="6.140625" style="3" bestFit="1" customWidth="1"/>
    <col min="6915" max="6915" width="11.5703125" style="3"/>
    <col min="6916" max="6916" width="10.28515625" style="3" bestFit="1" customWidth="1"/>
    <col min="6917" max="6917" width="11.5703125" style="3"/>
    <col min="6918" max="6918" width="10.28515625" style="3" bestFit="1" customWidth="1"/>
    <col min="6919" max="6919" width="11.5703125" style="3"/>
    <col min="6920" max="6920" width="10.28515625" style="3" bestFit="1" customWidth="1"/>
    <col min="6921" max="6921" width="11.5703125" style="3"/>
    <col min="6922" max="6922" width="10.28515625" style="3" bestFit="1" customWidth="1"/>
    <col min="6923" max="6923" width="11.5703125" style="3"/>
    <col min="6924" max="6924" width="10.28515625" style="3" bestFit="1" customWidth="1"/>
    <col min="6925" max="6925" width="11.5703125" style="3"/>
    <col min="6926" max="6926" width="10.28515625" style="3" bestFit="1" customWidth="1"/>
    <col min="6927" max="6927" width="11.5703125" style="3"/>
    <col min="6928" max="6928" width="10.28515625" style="3" bestFit="1" customWidth="1"/>
    <col min="6929" max="6929" width="11.5703125" style="3"/>
    <col min="6930" max="6930" width="10.28515625" style="3" bestFit="1" customWidth="1"/>
    <col min="6931" max="6931" width="11.5703125" style="3"/>
    <col min="6932" max="6932" width="10.28515625" style="3" bestFit="1" customWidth="1"/>
    <col min="6933" max="6933" width="11.5703125" style="3"/>
    <col min="6934" max="6934" width="10.28515625" style="3" bestFit="1" customWidth="1"/>
    <col min="6935" max="7159" width="11.5703125" style="3"/>
    <col min="7160" max="7160" width="17.28515625" style="3" customWidth="1"/>
    <col min="7161" max="7161" width="7.140625" style="3" bestFit="1" customWidth="1"/>
    <col min="7162" max="7162" width="18.140625" style="3" customWidth="1"/>
    <col min="7163" max="7163" width="7.140625" style="3" bestFit="1" customWidth="1"/>
    <col min="7164" max="7164" width="21.140625" style="3" customWidth="1"/>
    <col min="7165" max="7166" width="0" style="3" hidden="1" customWidth="1"/>
    <col min="7167" max="7167" width="7.7109375" style="3" bestFit="1" customWidth="1"/>
    <col min="7168" max="7168" width="74" style="3" customWidth="1"/>
    <col min="7169" max="7169" width="10" style="3" customWidth="1"/>
    <col min="7170" max="7170" width="6.140625" style="3" bestFit="1" customWidth="1"/>
    <col min="7171" max="7171" width="11.5703125" style="3"/>
    <col min="7172" max="7172" width="10.28515625" style="3" bestFit="1" customWidth="1"/>
    <col min="7173" max="7173" width="11.5703125" style="3"/>
    <col min="7174" max="7174" width="10.28515625" style="3" bestFit="1" customWidth="1"/>
    <col min="7175" max="7175" width="11.5703125" style="3"/>
    <col min="7176" max="7176" width="10.28515625" style="3" bestFit="1" customWidth="1"/>
    <col min="7177" max="7177" width="11.5703125" style="3"/>
    <col min="7178" max="7178" width="10.28515625" style="3" bestFit="1" customWidth="1"/>
    <col min="7179" max="7179" width="11.5703125" style="3"/>
    <col min="7180" max="7180" width="10.28515625" style="3" bestFit="1" customWidth="1"/>
    <col min="7181" max="7181" width="11.5703125" style="3"/>
    <col min="7182" max="7182" width="10.28515625" style="3" bestFit="1" customWidth="1"/>
    <col min="7183" max="7183" width="11.5703125" style="3"/>
    <col min="7184" max="7184" width="10.28515625" style="3" bestFit="1" customWidth="1"/>
    <col min="7185" max="7185" width="11.5703125" style="3"/>
    <col min="7186" max="7186" width="10.28515625" style="3" bestFit="1" customWidth="1"/>
    <col min="7187" max="7187" width="11.5703125" style="3"/>
    <col min="7188" max="7188" width="10.28515625" style="3" bestFit="1" customWidth="1"/>
    <col min="7189" max="7189" width="11.5703125" style="3"/>
    <col min="7190" max="7190" width="10.28515625" style="3" bestFit="1" customWidth="1"/>
    <col min="7191" max="7415" width="11.5703125" style="3"/>
    <col min="7416" max="7416" width="17.28515625" style="3" customWidth="1"/>
    <col min="7417" max="7417" width="7.140625" style="3" bestFit="1" customWidth="1"/>
    <col min="7418" max="7418" width="18.140625" style="3" customWidth="1"/>
    <col min="7419" max="7419" width="7.140625" style="3" bestFit="1" customWidth="1"/>
    <col min="7420" max="7420" width="21.140625" style="3" customWidth="1"/>
    <col min="7421" max="7422" width="0" style="3" hidden="1" customWidth="1"/>
    <col min="7423" max="7423" width="7.7109375" style="3" bestFit="1" customWidth="1"/>
    <col min="7424" max="7424" width="74" style="3" customWidth="1"/>
    <col min="7425" max="7425" width="10" style="3" customWidth="1"/>
    <col min="7426" max="7426" width="6.140625" style="3" bestFit="1" customWidth="1"/>
    <col min="7427" max="7427" width="11.5703125" style="3"/>
    <col min="7428" max="7428" width="10.28515625" style="3" bestFit="1" customWidth="1"/>
    <col min="7429" max="7429" width="11.5703125" style="3"/>
    <col min="7430" max="7430" width="10.28515625" style="3" bestFit="1" customWidth="1"/>
    <col min="7431" max="7431" width="11.5703125" style="3"/>
    <col min="7432" max="7432" width="10.28515625" style="3" bestFit="1" customWidth="1"/>
    <col min="7433" max="7433" width="11.5703125" style="3"/>
    <col min="7434" max="7434" width="10.28515625" style="3" bestFit="1" customWidth="1"/>
    <col min="7435" max="7435" width="11.5703125" style="3"/>
    <col min="7436" max="7436" width="10.28515625" style="3" bestFit="1" customWidth="1"/>
    <col min="7437" max="7437" width="11.5703125" style="3"/>
    <col min="7438" max="7438" width="10.28515625" style="3" bestFit="1" customWidth="1"/>
    <col min="7439" max="7439" width="11.5703125" style="3"/>
    <col min="7440" max="7440" width="10.28515625" style="3" bestFit="1" customWidth="1"/>
    <col min="7441" max="7441" width="11.5703125" style="3"/>
    <col min="7442" max="7442" width="10.28515625" style="3" bestFit="1" customWidth="1"/>
    <col min="7443" max="7443" width="11.5703125" style="3"/>
    <col min="7444" max="7444" width="10.28515625" style="3" bestFit="1" customWidth="1"/>
    <col min="7445" max="7445" width="11.5703125" style="3"/>
    <col min="7446" max="7446" width="10.28515625" style="3" bestFit="1" customWidth="1"/>
    <col min="7447" max="7671" width="11.5703125" style="3"/>
    <col min="7672" max="7672" width="17.28515625" style="3" customWidth="1"/>
    <col min="7673" max="7673" width="7.140625" style="3" bestFit="1" customWidth="1"/>
    <col min="7674" max="7674" width="18.140625" style="3" customWidth="1"/>
    <col min="7675" max="7675" width="7.140625" style="3" bestFit="1" customWidth="1"/>
    <col min="7676" max="7676" width="21.140625" style="3" customWidth="1"/>
    <col min="7677" max="7678" width="0" style="3" hidden="1" customWidth="1"/>
    <col min="7679" max="7679" width="7.7109375" style="3" bestFit="1" customWidth="1"/>
    <col min="7680" max="7680" width="74" style="3" customWidth="1"/>
    <col min="7681" max="7681" width="10" style="3" customWidth="1"/>
    <col min="7682" max="7682" width="6.140625" style="3" bestFit="1" customWidth="1"/>
    <col min="7683" max="7683" width="11.5703125" style="3"/>
    <col min="7684" max="7684" width="10.28515625" style="3" bestFit="1" customWidth="1"/>
    <col min="7685" max="7685" width="11.5703125" style="3"/>
    <col min="7686" max="7686" width="10.28515625" style="3" bestFit="1" customWidth="1"/>
    <col min="7687" max="7687" width="11.5703125" style="3"/>
    <col min="7688" max="7688" width="10.28515625" style="3" bestFit="1" customWidth="1"/>
    <col min="7689" max="7689" width="11.5703125" style="3"/>
    <col min="7690" max="7690" width="10.28515625" style="3" bestFit="1" customWidth="1"/>
    <col min="7691" max="7691" width="11.5703125" style="3"/>
    <col min="7692" max="7692" width="10.28515625" style="3" bestFit="1" customWidth="1"/>
    <col min="7693" max="7693" width="11.5703125" style="3"/>
    <col min="7694" max="7694" width="10.28515625" style="3" bestFit="1" customWidth="1"/>
    <col min="7695" max="7695" width="11.5703125" style="3"/>
    <col min="7696" max="7696" width="10.28515625" style="3" bestFit="1" customWidth="1"/>
    <col min="7697" max="7697" width="11.5703125" style="3"/>
    <col min="7698" max="7698" width="10.28515625" style="3" bestFit="1" customWidth="1"/>
    <col min="7699" max="7699" width="11.5703125" style="3"/>
    <col min="7700" max="7700" width="10.28515625" style="3" bestFit="1" customWidth="1"/>
    <col min="7701" max="7701" width="11.5703125" style="3"/>
    <col min="7702" max="7702" width="10.28515625" style="3" bestFit="1" customWidth="1"/>
    <col min="7703" max="7927" width="11.5703125" style="3"/>
    <col min="7928" max="7928" width="17.28515625" style="3" customWidth="1"/>
    <col min="7929" max="7929" width="7.140625" style="3" bestFit="1" customWidth="1"/>
    <col min="7930" max="7930" width="18.140625" style="3" customWidth="1"/>
    <col min="7931" max="7931" width="7.140625" style="3" bestFit="1" customWidth="1"/>
    <col min="7932" max="7932" width="21.140625" style="3" customWidth="1"/>
    <col min="7933" max="7934" width="0" style="3" hidden="1" customWidth="1"/>
    <col min="7935" max="7935" width="7.7109375" style="3" bestFit="1" customWidth="1"/>
    <col min="7936" max="7936" width="74" style="3" customWidth="1"/>
    <col min="7937" max="7937" width="10" style="3" customWidth="1"/>
    <col min="7938" max="7938" width="6.140625" style="3" bestFit="1" customWidth="1"/>
    <col min="7939" max="7939" width="11.5703125" style="3"/>
    <col min="7940" max="7940" width="10.28515625" style="3" bestFit="1" customWidth="1"/>
    <col min="7941" max="7941" width="11.5703125" style="3"/>
    <col min="7942" max="7942" width="10.28515625" style="3" bestFit="1" customWidth="1"/>
    <col min="7943" max="7943" width="11.5703125" style="3"/>
    <col min="7944" max="7944" width="10.28515625" style="3" bestFit="1" customWidth="1"/>
    <col min="7945" max="7945" width="11.5703125" style="3"/>
    <col min="7946" max="7946" width="10.28515625" style="3" bestFit="1" customWidth="1"/>
    <col min="7947" max="7947" width="11.5703125" style="3"/>
    <col min="7948" max="7948" width="10.28515625" style="3" bestFit="1" customWidth="1"/>
    <col min="7949" max="7949" width="11.5703125" style="3"/>
    <col min="7950" max="7950" width="10.28515625" style="3" bestFit="1" customWidth="1"/>
    <col min="7951" max="7951" width="11.5703125" style="3"/>
    <col min="7952" max="7952" width="10.28515625" style="3" bestFit="1" customWidth="1"/>
    <col min="7953" max="7953" width="11.5703125" style="3"/>
    <col min="7954" max="7954" width="10.28515625" style="3" bestFit="1" customWidth="1"/>
    <col min="7955" max="7955" width="11.5703125" style="3"/>
    <col min="7956" max="7956" width="10.28515625" style="3" bestFit="1" customWidth="1"/>
    <col min="7957" max="7957" width="11.5703125" style="3"/>
    <col min="7958" max="7958" width="10.28515625" style="3" bestFit="1" customWidth="1"/>
    <col min="7959" max="8183" width="11.5703125" style="3"/>
    <col min="8184" max="8184" width="17.28515625" style="3" customWidth="1"/>
    <col min="8185" max="8185" width="7.140625" style="3" bestFit="1" customWidth="1"/>
    <col min="8186" max="8186" width="18.140625" style="3" customWidth="1"/>
    <col min="8187" max="8187" width="7.140625" style="3" bestFit="1" customWidth="1"/>
    <col min="8188" max="8188" width="21.140625" style="3" customWidth="1"/>
    <col min="8189" max="8190" width="0" style="3" hidden="1" customWidth="1"/>
    <col min="8191" max="8191" width="7.7109375" style="3" bestFit="1" customWidth="1"/>
    <col min="8192" max="8192" width="74" style="3" customWidth="1"/>
    <col min="8193" max="8193" width="10" style="3" customWidth="1"/>
    <col min="8194" max="8194" width="6.140625" style="3" bestFit="1" customWidth="1"/>
    <col min="8195" max="8195" width="11.5703125" style="3"/>
    <col min="8196" max="8196" width="10.28515625" style="3" bestFit="1" customWidth="1"/>
    <col min="8197" max="8197" width="11.5703125" style="3"/>
    <col min="8198" max="8198" width="10.28515625" style="3" bestFit="1" customWidth="1"/>
    <col min="8199" max="8199" width="11.5703125" style="3"/>
    <col min="8200" max="8200" width="10.28515625" style="3" bestFit="1" customWidth="1"/>
    <col min="8201" max="8201" width="11.5703125" style="3"/>
    <col min="8202" max="8202" width="10.28515625" style="3" bestFit="1" customWidth="1"/>
    <col min="8203" max="8203" width="11.5703125" style="3"/>
    <col min="8204" max="8204" width="10.28515625" style="3" bestFit="1" customWidth="1"/>
    <col min="8205" max="8205" width="11.5703125" style="3"/>
    <col min="8206" max="8206" width="10.28515625" style="3" bestFit="1" customWidth="1"/>
    <col min="8207" max="8207" width="11.5703125" style="3"/>
    <col min="8208" max="8208" width="10.28515625" style="3" bestFit="1" customWidth="1"/>
    <col min="8209" max="8209" width="11.5703125" style="3"/>
    <col min="8210" max="8210" width="10.28515625" style="3" bestFit="1" customWidth="1"/>
    <col min="8211" max="8211" width="11.5703125" style="3"/>
    <col min="8212" max="8212" width="10.28515625" style="3" bestFit="1" customWidth="1"/>
    <col min="8213" max="8213" width="11.5703125" style="3"/>
    <col min="8214" max="8214" width="10.28515625" style="3" bestFit="1" customWidth="1"/>
    <col min="8215" max="8439" width="11.5703125" style="3"/>
    <col min="8440" max="8440" width="17.28515625" style="3" customWidth="1"/>
    <col min="8441" max="8441" width="7.140625" style="3" bestFit="1" customWidth="1"/>
    <col min="8442" max="8442" width="18.140625" style="3" customWidth="1"/>
    <col min="8443" max="8443" width="7.140625" style="3" bestFit="1" customWidth="1"/>
    <col min="8444" max="8444" width="21.140625" style="3" customWidth="1"/>
    <col min="8445" max="8446" width="0" style="3" hidden="1" customWidth="1"/>
    <col min="8447" max="8447" width="7.7109375" style="3" bestFit="1" customWidth="1"/>
    <col min="8448" max="8448" width="74" style="3" customWidth="1"/>
    <col min="8449" max="8449" width="10" style="3" customWidth="1"/>
    <col min="8450" max="8450" width="6.140625" style="3" bestFit="1" customWidth="1"/>
    <col min="8451" max="8451" width="11.5703125" style="3"/>
    <col min="8452" max="8452" width="10.28515625" style="3" bestFit="1" customWidth="1"/>
    <col min="8453" max="8453" width="11.5703125" style="3"/>
    <col min="8454" max="8454" width="10.28515625" style="3" bestFit="1" customWidth="1"/>
    <col min="8455" max="8455" width="11.5703125" style="3"/>
    <col min="8456" max="8456" width="10.28515625" style="3" bestFit="1" customWidth="1"/>
    <col min="8457" max="8457" width="11.5703125" style="3"/>
    <col min="8458" max="8458" width="10.28515625" style="3" bestFit="1" customWidth="1"/>
    <col min="8459" max="8459" width="11.5703125" style="3"/>
    <col min="8460" max="8460" width="10.28515625" style="3" bestFit="1" customWidth="1"/>
    <col min="8461" max="8461" width="11.5703125" style="3"/>
    <col min="8462" max="8462" width="10.28515625" style="3" bestFit="1" customWidth="1"/>
    <col min="8463" max="8463" width="11.5703125" style="3"/>
    <col min="8464" max="8464" width="10.28515625" style="3" bestFit="1" customWidth="1"/>
    <col min="8465" max="8465" width="11.5703125" style="3"/>
    <col min="8466" max="8466" width="10.28515625" style="3" bestFit="1" customWidth="1"/>
    <col min="8467" max="8467" width="11.5703125" style="3"/>
    <col min="8468" max="8468" width="10.28515625" style="3" bestFit="1" customWidth="1"/>
    <col min="8469" max="8469" width="11.5703125" style="3"/>
    <col min="8470" max="8470" width="10.28515625" style="3" bestFit="1" customWidth="1"/>
    <col min="8471" max="8695" width="11.5703125" style="3"/>
    <col min="8696" max="8696" width="17.28515625" style="3" customWidth="1"/>
    <col min="8697" max="8697" width="7.140625" style="3" bestFit="1" customWidth="1"/>
    <col min="8698" max="8698" width="18.140625" style="3" customWidth="1"/>
    <col min="8699" max="8699" width="7.140625" style="3" bestFit="1" customWidth="1"/>
    <col min="8700" max="8700" width="21.140625" style="3" customWidth="1"/>
    <col min="8701" max="8702" width="0" style="3" hidden="1" customWidth="1"/>
    <col min="8703" max="8703" width="7.7109375" style="3" bestFit="1" customWidth="1"/>
    <col min="8704" max="8704" width="74" style="3" customWidth="1"/>
    <col min="8705" max="8705" width="10" style="3" customWidth="1"/>
    <col min="8706" max="8706" width="6.140625" style="3" bestFit="1" customWidth="1"/>
    <col min="8707" max="8707" width="11.5703125" style="3"/>
    <col min="8708" max="8708" width="10.28515625" style="3" bestFit="1" customWidth="1"/>
    <col min="8709" max="8709" width="11.5703125" style="3"/>
    <col min="8710" max="8710" width="10.28515625" style="3" bestFit="1" customWidth="1"/>
    <col min="8711" max="8711" width="11.5703125" style="3"/>
    <col min="8712" max="8712" width="10.28515625" style="3" bestFit="1" customWidth="1"/>
    <col min="8713" max="8713" width="11.5703125" style="3"/>
    <col min="8714" max="8714" width="10.28515625" style="3" bestFit="1" customWidth="1"/>
    <col min="8715" max="8715" width="11.5703125" style="3"/>
    <col min="8716" max="8716" width="10.28515625" style="3" bestFit="1" customWidth="1"/>
    <col min="8717" max="8717" width="11.5703125" style="3"/>
    <col min="8718" max="8718" width="10.28515625" style="3" bestFit="1" customWidth="1"/>
    <col min="8719" max="8719" width="11.5703125" style="3"/>
    <col min="8720" max="8720" width="10.28515625" style="3" bestFit="1" customWidth="1"/>
    <col min="8721" max="8721" width="11.5703125" style="3"/>
    <col min="8722" max="8722" width="10.28515625" style="3" bestFit="1" customWidth="1"/>
    <col min="8723" max="8723" width="11.5703125" style="3"/>
    <col min="8724" max="8724" width="10.28515625" style="3" bestFit="1" customWidth="1"/>
    <col min="8725" max="8725" width="11.5703125" style="3"/>
    <col min="8726" max="8726" width="10.28515625" style="3" bestFit="1" customWidth="1"/>
    <col min="8727" max="8951" width="11.5703125" style="3"/>
    <col min="8952" max="8952" width="17.28515625" style="3" customWidth="1"/>
    <col min="8953" max="8953" width="7.140625" style="3" bestFit="1" customWidth="1"/>
    <col min="8954" max="8954" width="18.140625" style="3" customWidth="1"/>
    <col min="8955" max="8955" width="7.140625" style="3" bestFit="1" customWidth="1"/>
    <col min="8956" max="8956" width="21.140625" style="3" customWidth="1"/>
    <col min="8957" max="8958" width="0" style="3" hidden="1" customWidth="1"/>
    <col min="8959" max="8959" width="7.7109375" style="3" bestFit="1" customWidth="1"/>
    <col min="8960" max="8960" width="74" style="3" customWidth="1"/>
    <col min="8961" max="8961" width="10" style="3" customWidth="1"/>
    <col min="8962" max="8962" width="6.140625" style="3" bestFit="1" customWidth="1"/>
    <col min="8963" max="8963" width="11.5703125" style="3"/>
    <col min="8964" max="8964" width="10.28515625" style="3" bestFit="1" customWidth="1"/>
    <col min="8965" max="8965" width="11.5703125" style="3"/>
    <col min="8966" max="8966" width="10.28515625" style="3" bestFit="1" customWidth="1"/>
    <col min="8967" max="8967" width="11.5703125" style="3"/>
    <col min="8968" max="8968" width="10.28515625" style="3" bestFit="1" customWidth="1"/>
    <col min="8969" max="8969" width="11.5703125" style="3"/>
    <col min="8970" max="8970" width="10.28515625" style="3" bestFit="1" customWidth="1"/>
    <col min="8971" max="8971" width="11.5703125" style="3"/>
    <col min="8972" max="8972" width="10.28515625" style="3" bestFit="1" customWidth="1"/>
    <col min="8973" max="8973" width="11.5703125" style="3"/>
    <col min="8974" max="8974" width="10.28515625" style="3" bestFit="1" customWidth="1"/>
    <col min="8975" max="8975" width="11.5703125" style="3"/>
    <col min="8976" max="8976" width="10.28515625" style="3" bestFit="1" customWidth="1"/>
    <col min="8977" max="8977" width="11.5703125" style="3"/>
    <col min="8978" max="8978" width="10.28515625" style="3" bestFit="1" customWidth="1"/>
    <col min="8979" max="8979" width="11.5703125" style="3"/>
    <col min="8980" max="8980" width="10.28515625" style="3" bestFit="1" customWidth="1"/>
    <col min="8981" max="8981" width="11.5703125" style="3"/>
    <col min="8982" max="8982" width="10.28515625" style="3" bestFit="1" customWidth="1"/>
    <col min="8983" max="9207" width="11.5703125" style="3"/>
    <col min="9208" max="9208" width="17.28515625" style="3" customWidth="1"/>
    <col min="9209" max="9209" width="7.140625" style="3" bestFit="1" customWidth="1"/>
    <col min="9210" max="9210" width="18.140625" style="3" customWidth="1"/>
    <col min="9211" max="9211" width="7.140625" style="3" bestFit="1" customWidth="1"/>
    <col min="9212" max="9212" width="21.140625" style="3" customWidth="1"/>
    <col min="9213" max="9214" width="0" style="3" hidden="1" customWidth="1"/>
    <col min="9215" max="9215" width="7.7109375" style="3" bestFit="1" customWidth="1"/>
    <col min="9216" max="9216" width="74" style="3" customWidth="1"/>
    <col min="9217" max="9217" width="10" style="3" customWidth="1"/>
    <col min="9218" max="9218" width="6.140625" style="3" bestFit="1" customWidth="1"/>
    <col min="9219" max="9219" width="11.5703125" style="3"/>
    <col min="9220" max="9220" width="10.28515625" style="3" bestFit="1" customWidth="1"/>
    <col min="9221" max="9221" width="11.5703125" style="3"/>
    <col min="9222" max="9222" width="10.28515625" style="3" bestFit="1" customWidth="1"/>
    <col min="9223" max="9223" width="11.5703125" style="3"/>
    <col min="9224" max="9224" width="10.28515625" style="3" bestFit="1" customWidth="1"/>
    <col min="9225" max="9225" width="11.5703125" style="3"/>
    <col min="9226" max="9226" width="10.28515625" style="3" bestFit="1" customWidth="1"/>
    <col min="9227" max="9227" width="11.5703125" style="3"/>
    <col min="9228" max="9228" width="10.28515625" style="3" bestFit="1" customWidth="1"/>
    <col min="9229" max="9229" width="11.5703125" style="3"/>
    <col min="9230" max="9230" width="10.28515625" style="3" bestFit="1" customWidth="1"/>
    <col min="9231" max="9231" width="11.5703125" style="3"/>
    <col min="9232" max="9232" width="10.28515625" style="3" bestFit="1" customWidth="1"/>
    <col min="9233" max="9233" width="11.5703125" style="3"/>
    <col min="9234" max="9234" width="10.28515625" style="3" bestFit="1" customWidth="1"/>
    <col min="9235" max="9235" width="11.5703125" style="3"/>
    <col min="9236" max="9236" width="10.28515625" style="3" bestFit="1" customWidth="1"/>
    <col min="9237" max="9237" width="11.5703125" style="3"/>
    <col min="9238" max="9238" width="10.28515625" style="3" bestFit="1" customWidth="1"/>
    <col min="9239" max="9463" width="11.5703125" style="3"/>
    <col min="9464" max="9464" width="17.28515625" style="3" customWidth="1"/>
    <col min="9465" max="9465" width="7.140625" style="3" bestFit="1" customWidth="1"/>
    <col min="9466" max="9466" width="18.140625" style="3" customWidth="1"/>
    <col min="9467" max="9467" width="7.140625" style="3" bestFit="1" customWidth="1"/>
    <col min="9468" max="9468" width="21.140625" style="3" customWidth="1"/>
    <col min="9469" max="9470" width="0" style="3" hidden="1" customWidth="1"/>
    <col min="9471" max="9471" width="7.7109375" style="3" bestFit="1" customWidth="1"/>
    <col min="9472" max="9472" width="74" style="3" customWidth="1"/>
    <col min="9473" max="9473" width="10" style="3" customWidth="1"/>
    <col min="9474" max="9474" width="6.140625" style="3" bestFit="1" customWidth="1"/>
    <col min="9475" max="9475" width="11.5703125" style="3"/>
    <col min="9476" max="9476" width="10.28515625" style="3" bestFit="1" customWidth="1"/>
    <col min="9477" max="9477" width="11.5703125" style="3"/>
    <col min="9478" max="9478" width="10.28515625" style="3" bestFit="1" customWidth="1"/>
    <col min="9479" max="9479" width="11.5703125" style="3"/>
    <col min="9480" max="9480" width="10.28515625" style="3" bestFit="1" customWidth="1"/>
    <col min="9481" max="9481" width="11.5703125" style="3"/>
    <col min="9482" max="9482" width="10.28515625" style="3" bestFit="1" customWidth="1"/>
    <col min="9483" max="9483" width="11.5703125" style="3"/>
    <col min="9484" max="9484" width="10.28515625" style="3" bestFit="1" customWidth="1"/>
    <col min="9485" max="9485" width="11.5703125" style="3"/>
    <col min="9486" max="9486" width="10.28515625" style="3" bestFit="1" customWidth="1"/>
    <col min="9487" max="9487" width="11.5703125" style="3"/>
    <col min="9488" max="9488" width="10.28515625" style="3" bestFit="1" customWidth="1"/>
    <col min="9489" max="9489" width="11.5703125" style="3"/>
    <col min="9490" max="9490" width="10.28515625" style="3" bestFit="1" customWidth="1"/>
    <col min="9491" max="9491" width="11.5703125" style="3"/>
    <col min="9492" max="9492" width="10.28515625" style="3" bestFit="1" customWidth="1"/>
    <col min="9493" max="9493" width="11.5703125" style="3"/>
    <col min="9494" max="9494" width="10.28515625" style="3" bestFit="1" customWidth="1"/>
    <col min="9495" max="9719" width="11.5703125" style="3"/>
    <col min="9720" max="9720" width="17.28515625" style="3" customWidth="1"/>
    <col min="9721" max="9721" width="7.140625" style="3" bestFit="1" customWidth="1"/>
    <col min="9722" max="9722" width="18.140625" style="3" customWidth="1"/>
    <col min="9723" max="9723" width="7.140625" style="3" bestFit="1" customWidth="1"/>
    <col min="9724" max="9724" width="21.140625" style="3" customWidth="1"/>
    <col min="9725" max="9726" width="0" style="3" hidden="1" customWidth="1"/>
    <col min="9727" max="9727" width="7.7109375" style="3" bestFit="1" customWidth="1"/>
    <col min="9728" max="9728" width="74" style="3" customWidth="1"/>
    <col min="9729" max="9729" width="10" style="3" customWidth="1"/>
    <col min="9730" max="9730" width="6.140625" style="3" bestFit="1" customWidth="1"/>
    <col min="9731" max="9731" width="11.5703125" style="3"/>
    <col min="9732" max="9732" width="10.28515625" style="3" bestFit="1" customWidth="1"/>
    <col min="9733" max="9733" width="11.5703125" style="3"/>
    <col min="9734" max="9734" width="10.28515625" style="3" bestFit="1" customWidth="1"/>
    <col min="9735" max="9735" width="11.5703125" style="3"/>
    <col min="9736" max="9736" width="10.28515625" style="3" bestFit="1" customWidth="1"/>
    <col min="9737" max="9737" width="11.5703125" style="3"/>
    <col min="9738" max="9738" width="10.28515625" style="3" bestFit="1" customWidth="1"/>
    <col min="9739" max="9739" width="11.5703125" style="3"/>
    <col min="9740" max="9740" width="10.28515625" style="3" bestFit="1" customWidth="1"/>
    <col min="9741" max="9741" width="11.5703125" style="3"/>
    <col min="9742" max="9742" width="10.28515625" style="3" bestFit="1" customWidth="1"/>
    <col min="9743" max="9743" width="11.5703125" style="3"/>
    <col min="9744" max="9744" width="10.28515625" style="3" bestFit="1" customWidth="1"/>
    <col min="9745" max="9745" width="11.5703125" style="3"/>
    <col min="9746" max="9746" width="10.28515625" style="3" bestFit="1" customWidth="1"/>
    <col min="9747" max="9747" width="11.5703125" style="3"/>
    <col min="9748" max="9748" width="10.28515625" style="3" bestFit="1" customWidth="1"/>
    <col min="9749" max="9749" width="11.5703125" style="3"/>
    <col min="9750" max="9750" width="10.28515625" style="3" bestFit="1" customWidth="1"/>
    <col min="9751" max="9975" width="11.5703125" style="3"/>
    <col min="9976" max="9976" width="17.28515625" style="3" customWidth="1"/>
    <col min="9977" max="9977" width="7.140625" style="3" bestFit="1" customWidth="1"/>
    <col min="9978" max="9978" width="18.140625" style="3" customWidth="1"/>
    <col min="9979" max="9979" width="7.140625" style="3" bestFit="1" customWidth="1"/>
    <col min="9980" max="9980" width="21.140625" style="3" customWidth="1"/>
    <col min="9981" max="9982" width="0" style="3" hidden="1" customWidth="1"/>
    <col min="9983" max="9983" width="7.7109375" style="3" bestFit="1" customWidth="1"/>
    <col min="9984" max="9984" width="74" style="3" customWidth="1"/>
    <col min="9985" max="9985" width="10" style="3" customWidth="1"/>
    <col min="9986" max="9986" width="6.140625" style="3" bestFit="1" customWidth="1"/>
    <col min="9987" max="9987" width="11.5703125" style="3"/>
    <col min="9988" max="9988" width="10.28515625" style="3" bestFit="1" customWidth="1"/>
    <col min="9989" max="9989" width="11.5703125" style="3"/>
    <col min="9990" max="9990" width="10.28515625" style="3" bestFit="1" customWidth="1"/>
    <col min="9991" max="9991" width="11.5703125" style="3"/>
    <col min="9992" max="9992" width="10.28515625" style="3" bestFit="1" customWidth="1"/>
    <col min="9993" max="9993" width="11.5703125" style="3"/>
    <col min="9994" max="9994" width="10.28515625" style="3" bestFit="1" customWidth="1"/>
    <col min="9995" max="9995" width="11.5703125" style="3"/>
    <col min="9996" max="9996" width="10.28515625" style="3" bestFit="1" customWidth="1"/>
    <col min="9997" max="9997" width="11.5703125" style="3"/>
    <col min="9998" max="9998" width="10.28515625" style="3" bestFit="1" customWidth="1"/>
    <col min="9999" max="9999" width="11.5703125" style="3"/>
    <col min="10000" max="10000" width="10.28515625" style="3" bestFit="1" customWidth="1"/>
    <col min="10001" max="10001" width="11.5703125" style="3"/>
    <col min="10002" max="10002" width="10.28515625" style="3" bestFit="1" customWidth="1"/>
    <col min="10003" max="10003" width="11.5703125" style="3"/>
    <col min="10004" max="10004" width="10.28515625" style="3" bestFit="1" customWidth="1"/>
    <col min="10005" max="10005" width="11.5703125" style="3"/>
    <col min="10006" max="10006" width="10.28515625" style="3" bestFit="1" customWidth="1"/>
    <col min="10007" max="10231" width="11.5703125" style="3"/>
    <col min="10232" max="10232" width="17.28515625" style="3" customWidth="1"/>
    <col min="10233" max="10233" width="7.140625" style="3" bestFit="1" customWidth="1"/>
    <col min="10234" max="10234" width="18.140625" style="3" customWidth="1"/>
    <col min="10235" max="10235" width="7.140625" style="3" bestFit="1" customWidth="1"/>
    <col min="10236" max="10236" width="21.140625" style="3" customWidth="1"/>
    <col min="10237" max="10238" width="0" style="3" hidden="1" customWidth="1"/>
    <col min="10239" max="10239" width="7.7109375" style="3" bestFit="1" customWidth="1"/>
    <col min="10240" max="10240" width="74" style="3" customWidth="1"/>
    <col min="10241" max="10241" width="10" style="3" customWidth="1"/>
    <col min="10242" max="10242" width="6.140625" style="3" bestFit="1" customWidth="1"/>
    <col min="10243" max="10243" width="11.5703125" style="3"/>
    <col min="10244" max="10244" width="10.28515625" style="3" bestFit="1" customWidth="1"/>
    <col min="10245" max="10245" width="11.5703125" style="3"/>
    <col min="10246" max="10246" width="10.28515625" style="3" bestFit="1" customWidth="1"/>
    <col min="10247" max="10247" width="11.5703125" style="3"/>
    <col min="10248" max="10248" width="10.28515625" style="3" bestFit="1" customWidth="1"/>
    <col min="10249" max="10249" width="11.5703125" style="3"/>
    <col min="10250" max="10250" width="10.28515625" style="3" bestFit="1" customWidth="1"/>
    <col min="10251" max="10251" width="11.5703125" style="3"/>
    <col min="10252" max="10252" width="10.28515625" style="3" bestFit="1" customWidth="1"/>
    <col min="10253" max="10253" width="11.5703125" style="3"/>
    <col min="10254" max="10254" width="10.28515625" style="3" bestFit="1" customWidth="1"/>
    <col min="10255" max="10255" width="11.5703125" style="3"/>
    <col min="10256" max="10256" width="10.28515625" style="3" bestFit="1" customWidth="1"/>
    <col min="10257" max="10257" width="11.5703125" style="3"/>
    <col min="10258" max="10258" width="10.28515625" style="3" bestFit="1" customWidth="1"/>
    <col min="10259" max="10259" width="11.5703125" style="3"/>
    <col min="10260" max="10260" width="10.28515625" style="3" bestFit="1" customWidth="1"/>
    <col min="10261" max="10261" width="11.5703125" style="3"/>
    <col min="10262" max="10262" width="10.28515625" style="3" bestFit="1" customWidth="1"/>
    <col min="10263" max="10487" width="11.5703125" style="3"/>
    <col min="10488" max="10488" width="17.28515625" style="3" customWidth="1"/>
    <col min="10489" max="10489" width="7.140625" style="3" bestFit="1" customWidth="1"/>
    <col min="10490" max="10490" width="18.140625" style="3" customWidth="1"/>
    <col min="10491" max="10491" width="7.140625" style="3" bestFit="1" customWidth="1"/>
    <col min="10492" max="10492" width="21.140625" style="3" customWidth="1"/>
    <col min="10493" max="10494" width="0" style="3" hidden="1" customWidth="1"/>
    <col min="10495" max="10495" width="7.7109375" style="3" bestFit="1" customWidth="1"/>
    <col min="10496" max="10496" width="74" style="3" customWidth="1"/>
    <col min="10497" max="10497" width="10" style="3" customWidth="1"/>
    <col min="10498" max="10498" width="6.140625" style="3" bestFit="1" customWidth="1"/>
    <col min="10499" max="10499" width="11.5703125" style="3"/>
    <col min="10500" max="10500" width="10.28515625" style="3" bestFit="1" customWidth="1"/>
    <col min="10501" max="10501" width="11.5703125" style="3"/>
    <col min="10502" max="10502" width="10.28515625" style="3" bestFit="1" customWidth="1"/>
    <col min="10503" max="10503" width="11.5703125" style="3"/>
    <col min="10504" max="10504" width="10.28515625" style="3" bestFit="1" customWidth="1"/>
    <col min="10505" max="10505" width="11.5703125" style="3"/>
    <col min="10506" max="10506" width="10.28515625" style="3" bestFit="1" customWidth="1"/>
    <col min="10507" max="10507" width="11.5703125" style="3"/>
    <col min="10508" max="10508" width="10.28515625" style="3" bestFit="1" customWidth="1"/>
    <col min="10509" max="10509" width="11.5703125" style="3"/>
    <col min="10510" max="10510" width="10.28515625" style="3" bestFit="1" customWidth="1"/>
    <col min="10511" max="10511" width="11.5703125" style="3"/>
    <col min="10512" max="10512" width="10.28515625" style="3" bestFit="1" customWidth="1"/>
    <col min="10513" max="10513" width="11.5703125" style="3"/>
    <col min="10514" max="10514" width="10.28515625" style="3" bestFit="1" customWidth="1"/>
    <col min="10515" max="10515" width="11.5703125" style="3"/>
    <col min="10516" max="10516" width="10.28515625" style="3" bestFit="1" customWidth="1"/>
    <col min="10517" max="10517" width="11.5703125" style="3"/>
    <col min="10518" max="10518" width="10.28515625" style="3" bestFit="1" customWidth="1"/>
    <col min="10519" max="10743" width="11.5703125" style="3"/>
    <col min="10744" max="10744" width="17.28515625" style="3" customWidth="1"/>
    <col min="10745" max="10745" width="7.140625" style="3" bestFit="1" customWidth="1"/>
    <col min="10746" max="10746" width="18.140625" style="3" customWidth="1"/>
    <col min="10747" max="10747" width="7.140625" style="3" bestFit="1" customWidth="1"/>
    <col min="10748" max="10748" width="21.140625" style="3" customWidth="1"/>
    <col min="10749" max="10750" width="0" style="3" hidden="1" customWidth="1"/>
    <col min="10751" max="10751" width="7.7109375" style="3" bestFit="1" customWidth="1"/>
    <col min="10752" max="10752" width="74" style="3" customWidth="1"/>
    <col min="10753" max="10753" width="10" style="3" customWidth="1"/>
    <col min="10754" max="10754" width="6.140625" style="3" bestFit="1" customWidth="1"/>
    <col min="10755" max="10755" width="11.5703125" style="3"/>
    <col min="10756" max="10756" width="10.28515625" style="3" bestFit="1" customWidth="1"/>
    <col min="10757" max="10757" width="11.5703125" style="3"/>
    <col min="10758" max="10758" width="10.28515625" style="3" bestFit="1" customWidth="1"/>
    <col min="10759" max="10759" width="11.5703125" style="3"/>
    <col min="10760" max="10760" width="10.28515625" style="3" bestFit="1" customWidth="1"/>
    <col min="10761" max="10761" width="11.5703125" style="3"/>
    <col min="10762" max="10762" width="10.28515625" style="3" bestFit="1" customWidth="1"/>
    <col min="10763" max="10763" width="11.5703125" style="3"/>
    <col min="10764" max="10764" width="10.28515625" style="3" bestFit="1" customWidth="1"/>
    <col min="10765" max="10765" width="11.5703125" style="3"/>
    <col min="10766" max="10766" width="10.28515625" style="3" bestFit="1" customWidth="1"/>
    <col min="10767" max="10767" width="11.5703125" style="3"/>
    <col min="10768" max="10768" width="10.28515625" style="3" bestFit="1" customWidth="1"/>
    <col min="10769" max="10769" width="11.5703125" style="3"/>
    <col min="10770" max="10770" width="10.28515625" style="3" bestFit="1" customWidth="1"/>
    <col min="10771" max="10771" width="11.5703125" style="3"/>
    <col min="10772" max="10772" width="10.28515625" style="3" bestFit="1" customWidth="1"/>
    <col min="10773" max="10773" width="11.5703125" style="3"/>
    <col min="10774" max="10774" width="10.28515625" style="3" bestFit="1" customWidth="1"/>
    <col min="10775" max="10999" width="11.5703125" style="3"/>
    <col min="11000" max="11000" width="17.28515625" style="3" customWidth="1"/>
    <col min="11001" max="11001" width="7.140625" style="3" bestFit="1" customWidth="1"/>
    <col min="11002" max="11002" width="18.140625" style="3" customWidth="1"/>
    <col min="11003" max="11003" width="7.140625" style="3" bestFit="1" customWidth="1"/>
    <col min="11004" max="11004" width="21.140625" style="3" customWidth="1"/>
    <col min="11005" max="11006" width="0" style="3" hidden="1" customWidth="1"/>
    <col min="11007" max="11007" width="7.7109375" style="3" bestFit="1" customWidth="1"/>
    <col min="11008" max="11008" width="74" style="3" customWidth="1"/>
    <col min="11009" max="11009" width="10" style="3" customWidth="1"/>
    <col min="11010" max="11010" width="6.140625" style="3" bestFit="1" customWidth="1"/>
    <col min="11011" max="11011" width="11.5703125" style="3"/>
    <col min="11012" max="11012" width="10.28515625" style="3" bestFit="1" customWidth="1"/>
    <col min="11013" max="11013" width="11.5703125" style="3"/>
    <col min="11014" max="11014" width="10.28515625" style="3" bestFit="1" customWidth="1"/>
    <col min="11015" max="11015" width="11.5703125" style="3"/>
    <col min="11016" max="11016" width="10.28515625" style="3" bestFit="1" customWidth="1"/>
    <col min="11017" max="11017" width="11.5703125" style="3"/>
    <col min="11018" max="11018" width="10.28515625" style="3" bestFit="1" customWidth="1"/>
    <col min="11019" max="11019" width="11.5703125" style="3"/>
    <col min="11020" max="11020" width="10.28515625" style="3" bestFit="1" customWidth="1"/>
    <col min="11021" max="11021" width="11.5703125" style="3"/>
    <col min="11022" max="11022" width="10.28515625" style="3" bestFit="1" customWidth="1"/>
    <col min="11023" max="11023" width="11.5703125" style="3"/>
    <col min="11024" max="11024" width="10.28515625" style="3" bestFit="1" customWidth="1"/>
    <col min="11025" max="11025" width="11.5703125" style="3"/>
    <col min="11026" max="11026" width="10.28515625" style="3" bestFit="1" customWidth="1"/>
    <col min="11027" max="11027" width="11.5703125" style="3"/>
    <col min="11028" max="11028" width="10.28515625" style="3" bestFit="1" customWidth="1"/>
    <col min="11029" max="11029" width="11.5703125" style="3"/>
    <col min="11030" max="11030" width="10.28515625" style="3" bestFit="1" customWidth="1"/>
    <col min="11031" max="11255" width="11.5703125" style="3"/>
    <col min="11256" max="11256" width="17.28515625" style="3" customWidth="1"/>
    <col min="11257" max="11257" width="7.140625" style="3" bestFit="1" customWidth="1"/>
    <col min="11258" max="11258" width="18.140625" style="3" customWidth="1"/>
    <col min="11259" max="11259" width="7.140625" style="3" bestFit="1" customWidth="1"/>
    <col min="11260" max="11260" width="21.140625" style="3" customWidth="1"/>
    <col min="11261" max="11262" width="0" style="3" hidden="1" customWidth="1"/>
    <col min="11263" max="11263" width="7.7109375" style="3" bestFit="1" customWidth="1"/>
    <col min="11264" max="11264" width="74" style="3" customWidth="1"/>
    <col min="11265" max="11265" width="10" style="3" customWidth="1"/>
    <col min="11266" max="11266" width="6.140625" style="3" bestFit="1" customWidth="1"/>
    <col min="11267" max="11267" width="11.5703125" style="3"/>
    <col min="11268" max="11268" width="10.28515625" style="3" bestFit="1" customWidth="1"/>
    <col min="11269" max="11269" width="11.5703125" style="3"/>
    <col min="11270" max="11270" width="10.28515625" style="3" bestFit="1" customWidth="1"/>
    <col min="11271" max="11271" width="11.5703125" style="3"/>
    <col min="11272" max="11272" width="10.28515625" style="3" bestFit="1" customWidth="1"/>
    <col min="11273" max="11273" width="11.5703125" style="3"/>
    <col min="11274" max="11274" width="10.28515625" style="3" bestFit="1" customWidth="1"/>
    <col min="11275" max="11275" width="11.5703125" style="3"/>
    <col min="11276" max="11276" width="10.28515625" style="3" bestFit="1" customWidth="1"/>
    <col min="11277" max="11277" width="11.5703125" style="3"/>
    <col min="11278" max="11278" width="10.28515625" style="3" bestFit="1" customWidth="1"/>
    <col min="11279" max="11279" width="11.5703125" style="3"/>
    <col min="11280" max="11280" width="10.28515625" style="3" bestFit="1" customWidth="1"/>
    <col min="11281" max="11281" width="11.5703125" style="3"/>
    <col min="11282" max="11282" width="10.28515625" style="3" bestFit="1" customWidth="1"/>
    <col min="11283" max="11283" width="11.5703125" style="3"/>
    <col min="11284" max="11284" width="10.28515625" style="3" bestFit="1" customWidth="1"/>
    <col min="11285" max="11285" width="11.5703125" style="3"/>
    <col min="11286" max="11286" width="10.28515625" style="3" bestFit="1" customWidth="1"/>
    <col min="11287" max="11511" width="11.5703125" style="3"/>
    <col min="11512" max="11512" width="17.28515625" style="3" customWidth="1"/>
    <col min="11513" max="11513" width="7.140625" style="3" bestFit="1" customWidth="1"/>
    <col min="11514" max="11514" width="18.140625" style="3" customWidth="1"/>
    <col min="11515" max="11515" width="7.140625" style="3" bestFit="1" customWidth="1"/>
    <col min="11516" max="11516" width="21.140625" style="3" customWidth="1"/>
    <col min="11517" max="11518" width="0" style="3" hidden="1" customWidth="1"/>
    <col min="11519" max="11519" width="7.7109375" style="3" bestFit="1" customWidth="1"/>
    <col min="11520" max="11520" width="74" style="3" customWidth="1"/>
    <col min="11521" max="11521" width="10" style="3" customWidth="1"/>
    <col min="11522" max="11522" width="6.140625" style="3" bestFit="1" customWidth="1"/>
    <col min="11523" max="11523" width="11.5703125" style="3"/>
    <col min="11524" max="11524" width="10.28515625" style="3" bestFit="1" customWidth="1"/>
    <col min="11525" max="11525" width="11.5703125" style="3"/>
    <col min="11526" max="11526" width="10.28515625" style="3" bestFit="1" customWidth="1"/>
    <col min="11527" max="11527" width="11.5703125" style="3"/>
    <col min="11528" max="11528" width="10.28515625" style="3" bestFit="1" customWidth="1"/>
    <col min="11529" max="11529" width="11.5703125" style="3"/>
    <col min="11530" max="11530" width="10.28515625" style="3" bestFit="1" customWidth="1"/>
    <col min="11531" max="11531" width="11.5703125" style="3"/>
    <col min="11532" max="11532" width="10.28515625" style="3" bestFit="1" customWidth="1"/>
    <col min="11533" max="11533" width="11.5703125" style="3"/>
    <col min="11534" max="11534" width="10.28515625" style="3" bestFit="1" customWidth="1"/>
    <col min="11535" max="11535" width="11.5703125" style="3"/>
    <col min="11536" max="11536" width="10.28515625" style="3" bestFit="1" customWidth="1"/>
    <col min="11537" max="11537" width="11.5703125" style="3"/>
    <col min="11538" max="11538" width="10.28515625" style="3" bestFit="1" customWidth="1"/>
    <col min="11539" max="11539" width="11.5703125" style="3"/>
    <col min="11540" max="11540" width="10.28515625" style="3" bestFit="1" customWidth="1"/>
    <col min="11541" max="11541" width="11.5703125" style="3"/>
    <col min="11542" max="11542" width="10.28515625" style="3" bestFit="1" customWidth="1"/>
    <col min="11543" max="11767" width="11.5703125" style="3"/>
    <col min="11768" max="11768" width="17.28515625" style="3" customWidth="1"/>
    <col min="11769" max="11769" width="7.140625" style="3" bestFit="1" customWidth="1"/>
    <col min="11770" max="11770" width="18.140625" style="3" customWidth="1"/>
    <col min="11771" max="11771" width="7.140625" style="3" bestFit="1" customWidth="1"/>
    <col min="11772" max="11772" width="21.140625" style="3" customWidth="1"/>
    <col min="11773" max="11774" width="0" style="3" hidden="1" customWidth="1"/>
    <col min="11775" max="11775" width="7.7109375" style="3" bestFit="1" customWidth="1"/>
    <col min="11776" max="11776" width="74" style="3" customWidth="1"/>
    <col min="11777" max="11777" width="10" style="3" customWidth="1"/>
    <col min="11778" max="11778" width="6.140625" style="3" bestFit="1" customWidth="1"/>
    <col min="11779" max="11779" width="11.5703125" style="3"/>
    <col min="11780" max="11780" width="10.28515625" style="3" bestFit="1" customWidth="1"/>
    <col min="11781" max="11781" width="11.5703125" style="3"/>
    <col min="11782" max="11782" width="10.28515625" style="3" bestFit="1" customWidth="1"/>
    <col min="11783" max="11783" width="11.5703125" style="3"/>
    <col min="11784" max="11784" width="10.28515625" style="3" bestFit="1" customWidth="1"/>
    <col min="11785" max="11785" width="11.5703125" style="3"/>
    <col min="11786" max="11786" width="10.28515625" style="3" bestFit="1" customWidth="1"/>
    <col min="11787" max="11787" width="11.5703125" style="3"/>
    <col min="11788" max="11788" width="10.28515625" style="3" bestFit="1" customWidth="1"/>
    <col min="11789" max="11789" width="11.5703125" style="3"/>
    <col min="11790" max="11790" width="10.28515625" style="3" bestFit="1" customWidth="1"/>
    <col min="11791" max="11791" width="11.5703125" style="3"/>
    <col min="11792" max="11792" width="10.28515625" style="3" bestFit="1" customWidth="1"/>
    <col min="11793" max="11793" width="11.5703125" style="3"/>
    <col min="11794" max="11794" width="10.28515625" style="3" bestFit="1" customWidth="1"/>
    <col min="11795" max="11795" width="11.5703125" style="3"/>
    <col min="11796" max="11796" width="10.28515625" style="3" bestFit="1" customWidth="1"/>
    <col min="11797" max="11797" width="11.5703125" style="3"/>
    <col min="11798" max="11798" width="10.28515625" style="3" bestFit="1" customWidth="1"/>
    <col min="11799" max="12023" width="11.5703125" style="3"/>
    <col min="12024" max="12024" width="17.28515625" style="3" customWidth="1"/>
    <col min="12025" max="12025" width="7.140625" style="3" bestFit="1" customWidth="1"/>
    <col min="12026" max="12026" width="18.140625" style="3" customWidth="1"/>
    <col min="12027" max="12027" width="7.140625" style="3" bestFit="1" customWidth="1"/>
    <col min="12028" max="12028" width="21.140625" style="3" customWidth="1"/>
    <col min="12029" max="12030" width="0" style="3" hidden="1" customWidth="1"/>
    <col min="12031" max="12031" width="7.7109375" style="3" bestFit="1" customWidth="1"/>
    <col min="12032" max="12032" width="74" style="3" customWidth="1"/>
    <col min="12033" max="12033" width="10" style="3" customWidth="1"/>
    <col min="12034" max="12034" width="6.140625" style="3" bestFit="1" customWidth="1"/>
    <col min="12035" max="12035" width="11.5703125" style="3"/>
    <col min="12036" max="12036" width="10.28515625" style="3" bestFit="1" customWidth="1"/>
    <col min="12037" max="12037" width="11.5703125" style="3"/>
    <col min="12038" max="12038" width="10.28515625" style="3" bestFit="1" customWidth="1"/>
    <col min="12039" max="12039" width="11.5703125" style="3"/>
    <col min="12040" max="12040" width="10.28515625" style="3" bestFit="1" customWidth="1"/>
    <col min="12041" max="12041" width="11.5703125" style="3"/>
    <col min="12042" max="12042" width="10.28515625" style="3" bestFit="1" customWidth="1"/>
    <col min="12043" max="12043" width="11.5703125" style="3"/>
    <col min="12044" max="12044" width="10.28515625" style="3" bestFit="1" customWidth="1"/>
    <col min="12045" max="12045" width="11.5703125" style="3"/>
    <col min="12046" max="12046" width="10.28515625" style="3" bestFit="1" customWidth="1"/>
    <col min="12047" max="12047" width="11.5703125" style="3"/>
    <col min="12048" max="12048" width="10.28515625" style="3" bestFit="1" customWidth="1"/>
    <col min="12049" max="12049" width="11.5703125" style="3"/>
    <col min="12050" max="12050" width="10.28515625" style="3" bestFit="1" customWidth="1"/>
    <col min="12051" max="12051" width="11.5703125" style="3"/>
    <col min="12052" max="12052" width="10.28515625" style="3" bestFit="1" customWidth="1"/>
    <col min="12053" max="12053" width="11.5703125" style="3"/>
    <col min="12054" max="12054" width="10.28515625" style="3" bestFit="1" customWidth="1"/>
    <col min="12055" max="12279" width="11.5703125" style="3"/>
    <col min="12280" max="12280" width="17.28515625" style="3" customWidth="1"/>
    <col min="12281" max="12281" width="7.140625" style="3" bestFit="1" customWidth="1"/>
    <col min="12282" max="12282" width="18.140625" style="3" customWidth="1"/>
    <col min="12283" max="12283" width="7.140625" style="3" bestFit="1" customWidth="1"/>
    <col min="12284" max="12284" width="21.140625" style="3" customWidth="1"/>
    <col min="12285" max="12286" width="0" style="3" hidden="1" customWidth="1"/>
    <col min="12287" max="12287" width="7.7109375" style="3" bestFit="1" customWidth="1"/>
    <col min="12288" max="12288" width="74" style="3" customWidth="1"/>
    <col min="12289" max="12289" width="10" style="3" customWidth="1"/>
    <col min="12290" max="12290" width="6.140625" style="3" bestFit="1" customWidth="1"/>
    <col min="12291" max="12291" width="11.5703125" style="3"/>
    <col min="12292" max="12292" width="10.28515625" style="3" bestFit="1" customWidth="1"/>
    <col min="12293" max="12293" width="11.5703125" style="3"/>
    <col min="12294" max="12294" width="10.28515625" style="3" bestFit="1" customWidth="1"/>
    <col min="12295" max="12295" width="11.5703125" style="3"/>
    <col min="12296" max="12296" width="10.28515625" style="3" bestFit="1" customWidth="1"/>
    <col min="12297" max="12297" width="11.5703125" style="3"/>
    <col min="12298" max="12298" width="10.28515625" style="3" bestFit="1" customWidth="1"/>
    <col min="12299" max="12299" width="11.5703125" style="3"/>
    <col min="12300" max="12300" width="10.28515625" style="3" bestFit="1" customWidth="1"/>
    <col min="12301" max="12301" width="11.5703125" style="3"/>
    <col min="12302" max="12302" width="10.28515625" style="3" bestFit="1" customWidth="1"/>
    <col min="12303" max="12303" width="11.5703125" style="3"/>
    <col min="12304" max="12304" width="10.28515625" style="3" bestFit="1" customWidth="1"/>
    <col min="12305" max="12305" width="11.5703125" style="3"/>
    <col min="12306" max="12306" width="10.28515625" style="3" bestFit="1" customWidth="1"/>
    <col min="12307" max="12307" width="11.5703125" style="3"/>
    <col min="12308" max="12308" width="10.28515625" style="3" bestFit="1" customWidth="1"/>
    <col min="12309" max="12309" width="11.5703125" style="3"/>
    <col min="12310" max="12310" width="10.28515625" style="3" bestFit="1" customWidth="1"/>
    <col min="12311" max="12535" width="11.5703125" style="3"/>
    <col min="12536" max="12536" width="17.28515625" style="3" customWidth="1"/>
    <col min="12537" max="12537" width="7.140625" style="3" bestFit="1" customWidth="1"/>
    <col min="12538" max="12538" width="18.140625" style="3" customWidth="1"/>
    <col min="12539" max="12539" width="7.140625" style="3" bestFit="1" customWidth="1"/>
    <col min="12540" max="12540" width="21.140625" style="3" customWidth="1"/>
    <col min="12541" max="12542" width="0" style="3" hidden="1" customWidth="1"/>
    <col min="12543" max="12543" width="7.7109375" style="3" bestFit="1" customWidth="1"/>
    <col min="12544" max="12544" width="74" style="3" customWidth="1"/>
    <col min="12545" max="12545" width="10" style="3" customWidth="1"/>
    <col min="12546" max="12546" width="6.140625" style="3" bestFit="1" customWidth="1"/>
    <col min="12547" max="12547" width="11.5703125" style="3"/>
    <col min="12548" max="12548" width="10.28515625" style="3" bestFit="1" customWidth="1"/>
    <col min="12549" max="12549" width="11.5703125" style="3"/>
    <col min="12550" max="12550" width="10.28515625" style="3" bestFit="1" customWidth="1"/>
    <col min="12551" max="12551" width="11.5703125" style="3"/>
    <col min="12552" max="12552" width="10.28515625" style="3" bestFit="1" customWidth="1"/>
    <col min="12553" max="12553" width="11.5703125" style="3"/>
    <col min="12554" max="12554" width="10.28515625" style="3" bestFit="1" customWidth="1"/>
    <col min="12555" max="12555" width="11.5703125" style="3"/>
    <col min="12556" max="12556" width="10.28515625" style="3" bestFit="1" customWidth="1"/>
    <col min="12557" max="12557" width="11.5703125" style="3"/>
    <col min="12558" max="12558" width="10.28515625" style="3" bestFit="1" customWidth="1"/>
    <col min="12559" max="12559" width="11.5703125" style="3"/>
    <col min="12560" max="12560" width="10.28515625" style="3" bestFit="1" customWidth="1"/>
    <col min="12561" max="12561" width="11.5703125" style="3"/>
    <col min="12562" max="12562" width="10.28515625" style="3" bestFit="1" customWidth="1"/>
    <col min="12563" max="12563" width="11.5703125" style="3"/>
    <col min="12564" max="12564" width="10.28515625" style="3" bestFit="1" customWidth="1"/>
    <col min="12565" max="12565" width="11.5703125" style="3"/>
    <col min="12566" max="12566" width="10.28515625" style="3" bestFit="1" customWidth="1"/>
    <col min="12567" max="12791" width="11.5703125" style="3"/>
    <col min="12792" max="12792" width="17.28515625" style="3" customWidth="1"/>
    <col min="12793" max="12793" width="7.140625" style="3" bestFit="1" customWidth="1"/>
    <col min="12794" max="12794" width="18.140625" style="3" customWidth="1"/>
    <col min="12795" max="12795" width="7.140625" style="3" bestFit="1" customWidth="1"/>
    <col min="12796" max="12796" width="21.140625" style="3" customWidth="1"/>
    <col min="12797" max="12798" width="0" style="3" hidden="1" customWidth="1"/>
    <col min="12799" max="12799" width="7.7109375" style="3" bestFit="1" customWidth="1"/>
    <col min="12800" max="12800" width="74" style="3" customWidth="1"/>
    <col min="12801" max="12801" width="10" style="3" customWidth="1"/>
    <col min="12802" max="12802" width="6.140625" style="3" bestFit="1" customWidth="1"/>
    <col min="12803" max="12803" width="11.5703125" style="3"/>
    <col min="12804" max="12804" width="10.28515625" style="3" bestFit="1" customWidth="1"/>
    <col min="12805" max="12805" width="11.5703125" style="3"/>
    <col min="12806" max="12806" width="10.28515625" style="3" bestFit="1" customWidth="1"/>
    <col min="12807" max="12807" width="11.5703125" style="3"/>
    <col min="12808" max="12808" width="10.28515625" style="3" bestFit="1" customWidth="1"/>
    <col min="12809" max="12809" width="11.5703125" style="3"/>
    <col min="12810" max="12810" width="10.28515625" style="3" bestFit="1" customWidth="1"/>
    <col min="12811" max="12811" width="11.5703125" style="3"/>
    <col min="12812" max="12812" width="10.28515625" style="3" bestFit="1" customWidth="1"/>
    <col min="12813" max="12813" width="11.5703125" style="3"/>
    <col min="12814" max="12814" width="10.28515625" style="3" bestFit="1" customWidth="1"/>
    <col min="12815" max="12815" width="11.5703125" style="3"/>
    <col min="12816" max="12816" width="10.28515625" style="3" bestFit="1" customWidth="1"/>
    <col min="12817" max="12817" width="11.5703125" style="3"/>
    <col min="12818" max="12818" width="10.28515625" style="3" bestFit="1" customWidth="1"/>
    <col min="12819" max="12819" width="11.5703125" style="3"/>
    <col min="12820" max="12820" width="10.28515625" style="3" bestFit="1" customWidth="1"/>
    <col min="12821" max="12821" width="11.5703125" style="3"/>
    <col min="12822" max="12822" width="10.28515625" style="3" bestFit="1" customWidth="1"/>
    <col min="12823" max="13047" width="11.5703125" style="3"/>
    <col min="13048" max="13048" width="17.28515625" style="3" customWidth="1"/>
    <col min="13049" max="13049" width="7.140625" style="3" bestFit="1" customWidth="1"/>
    <col min="13050" max="13050" width="18.140625" style="3" customWidth="1"/>
    <col min="13051" max="13051" width="7.140625" style="3" bestFit="1" customWidth="1"/>
    <col min="13052" max="13052" width="21.140625" style="3" customWidth="1"/>
    <col min="13053" max="13054" width="0" style="3" hidden="1" customWidth="1"/>
    <col min="13055" max="13055" width="7.7109375" style="3" bestFit="1" customWidth="1"/>
    <col min="13056" max="13056" width="74" style="3" customWidth="1"/>
    <col min="13057" max="13057" width="10" style="3" customWidth="1"/>
    <col min="13058" max="13058" width="6.140625" style="3" bestFit="1" customWidth="1"/>
    <col min="13059" max="13059" width="11.5703125" style="3"/>
    <col min="13060" max="13060" width="10.28515625" style="3" bestFit="1" customWidth="1"/>
    <col min="13061" max="13061" width="11.5703125" style="3"/>
    <col min="13062" max="13062" width="10.28515625" style="3" bestFit="1" customWidth="1"/>
    <col min="13063" max="13063" width="11.5703125" style="3"/>
    <col min="13064" max="13064" width="10.28515625" style="3" bestFit="1" customWidth="1"/>
    <col min="13065" max="13065" width="11.5703125" style="3"/>
    <col min="13066" max="13066" width="10.28515625" style="3" bestFit="1" customWidth="1"/>
    <col min="13067" max="13067" width="11.5703125" style="3"/>
    <col min="13068" max="13068" width="10.28515625" style="3" bestFit="1" customWidth="1"/>
    <col min="13069" max="13069" width="11.5703125" style="3"/>
    <col min="13070" max="13070" width="10.28515625" style="3" bestFit="1" customWidth="1"/>
    <col min="13071" max="13071" width="11.5703125" style="3"/>
    <col min="13072" max="13072" width="10.28515625" style="3" bestFit="1" customWidth="1"/>
    <col min="13073" max="13073" width="11.5703125" style="3"/>
    <col min="13074" max="13074" width="10.28515625" style="3" bestFit="1" customWidth="1"/>
    <col min="13075" max="13075" width="11.5703125" style="3"/>
    <col min="13076" max="13076" width="10.28515625" style="3" bestFit="1" customWidth="1"/>
    <col min="13077" max="13077" width="11.5703125" style="3"/>
    <col min="13078" max="13078" width="10.28515625" style="3" bestFit="1" customWidth="1"/>
    <col min="13079" max="13303" width="11.5703125" style="3"/>
    <col min="13304" max="13304" width="17.28515625" style="3" customWidth="1"/>
    <col min="13305" max="13305" width="7.140625" style="3" bestFit="1" customWidth="1"/>
    <col min="13306" max="13306" width="18.140625" style="3" customWidth="1"/>
    <col min="13307" max="13307" width="7.140625" style="3" bestFit="1" customWidth="1"/>
    <col min="13308" max="13308" width="21.140625" style="3" customWidth="1"/>
    <col min="13309" max="13310" width="0" style="3" hidden="1" customWidth="1"/>
    <col min="13311" max="13311" width="7.7109375" style="3" bestFit="1" customWidth="1"/>
    <col min="13312" max="13312" width="74" style="3" customWidth="1"/>
    <col min="13313" max="13313" width="10" style="3" customWidth="1"/>
    <col min="13314" max="13314" width="6.140625" style="3" bestFit="1" customWidth="1"/>
    <col min="13315" max="13315" width="11.5703125" style="3"/>
    <col min="13316" max="13316" width="10.28515625" style="3" bestFit="1" customWidth="1"/>
    <col min="13317" max="13317" width="11.5703125" style="3"/>
    <col min="13318" max="13318" width="10.28515625" style="3" bestFit="1" customWidth="1"/>
    <col min="13319" max="13319" width="11.5703125" style="3"/>
    <col min="13320" max="13320" width="10.28515625" style="3" bestFit="1" customWidth="1"/>
    <col min="13321" max="13321" width="11.5703125" style="3"/>
    <col min="13322" max="13322" width="10.28515625" style="3" bestFit="1" customWidth="1"/>
    <col min="13323" max="13323" width="11.5703125" style="3"/>
    <col min="13324" max="13324" width="10.28515625" style="3" bestFit="1" customWidth="1"/>
    <col min="13325" max="13325" width="11.5703125" style="3"/>
    <col min="13326" max="13326" width="10.28515625" style="3" bestFit="1" customWidth="1"/>
    <col min="13327" max="13327" width="11.5703125" style="3"/>
    <col min="13328" max="13328" width="10.28515625" style="3" bestFit="1" customWidth="1"/>
    <col min="13329" max="13329" width="11.5703125" style="3"/>
    <col min="13330" max="13330" width="10.28515625" style="3" bestFit="1" customWidth="1"/>
    <col min="13331" max="13331" width="11.5703125" style="3"/>
    <col min="13332" max="13332" width="10.28515625" style="3" bestFit="1" customWidth="1"/>
    <col min="13333" max="13333" width="11.5703125" style="3"/>
    <col min="13334" max="13334" width="10.28515625" style="3" bestFit="1" customWidth="1"/>
    <col min="13335" max="13559" width="11.5703125" style="3"/>
    <col min="13560" max="13560" width="17.28515625" style="3" customWidth="1"/>
    <col min="13561" max="13561" width="7.140625" style="3" bestFit="1" customWidth="1"/>
    <col min="13562" max="13562" width="18.140625" style="3" customWidth="1"/>
    <col min="13563" max="13563" width="7.140625" style="3" bestFit="1" customWidth="1"/>
    <col min="13564" max="13564" width="21.140625" style="3" customWidth="1"/>
    <col min="13565" max="13566" width="0" style="3" hidden="1" customWidth="1"/>
    <col min="13567" max="13567" width="7.7109375" style="3" bestFit="1" customWidth="1"/>
    <col min="13568" max="13568" width="74" style="3" customWidth="1"/>
    <col min="13569" max="13569" width="10" style="3" customWidth="1"/>
    <col min="13570" max="13570" width="6.140625" style="3" bestFit="1" customWidth="1"/>
    <col min="13571" max="13571" width="11.5703125" style="3"/>
    <col min="13572" max="13572" width="10.28515625" style="3" bestFit="1" customWidth="1"/>
    <col min="13573" max="13573" width="11.5703125" style="3"/>
    <col min="13574" max="13574" width="10.28515625" style="3" bestFit="1" customWidth="1"/>
    <col min="13575" max="13575" width="11.5703125" style="3"/>
    <col min="13576" max="13576" width="10.28515625" style="3" bestFit="1" customWidth="1"/>
    <col min="13577" max="13577" width="11.5703125" style="3"/>
    <col min="13578" max="13578" width="10.28515625" style="3" bestFit="1" customWidth="1"/>
    <col min="13579" max="13579" width="11.5703125" style="3"/>
    <col min="13580" max="13580" width="10.28515625" style="3" bestFit="1" customWidth="1"/>
    <col min="13581" max="13581" width="11.5703125" style="3"/>
    <col min="13582" max="13582" width="10.28515625" style="3" bestFit="1" customWidth="1"/>
    <col min="13583" max="13583" width="11.5703125" style="3"/>
    <col min="13584" max="13584" width="10.28515625" style="3" bestFit="1" customWidth="1"/>
    <col min="13585" max="13585" width="11.5703125" style="3"/>
    <col min="13586" max="13586" width="10.28515625" style="3" bestFit="1" customWidth="1"/>
    <col min="13587" max="13587" width="11.5703125" style="3"/>
    <col min="13588" max="13588" width="10.28515625" style="3" bestFit="1" customWidth="1"/>
    <col min="13589" max="13589" width="11.5703125" style="3"/>
    <col min="13590" max="13590" width="10.28515625" style="3" bestFit="1" customWidth="1"/>
    <col min="13591" max="13815" width="11.5703125" style="3"/>
    <col min="13816" max="13816" width="17.28515625" style="3" customWidth="1"/>
    <col min="13817" max="13817" width="7.140625" style="3" bestFit="1" customWidth="1"/>
    <col min="13818" max="13818" width="18.140625" style="3" customWidth="1"/>
    <col min="13819" max="13819" width="7.140625" style="3" bestFit="1" customWidth="1"/>
    <col min="13820" max="13820" width="21.140625" style="3" customWidth="1"/>
    <col min="13821" max="13822" width="0" style="3" hidden="1" customWidth="1"/>
    <col min="13823" max="13823" width="7.7109375" style="3" bestFit="1" customWidth="1"/>
    <col min="13824" max="13824" width="74" style="3" customWidth="1"/>
    <col min="13825" max="13825" width="10" style="3" customWidth="1"/>
    <col min="13826" max="13826" width="6.140625" style="3" bestFit="1" customWidth="1"/>
    <col min="13827" max="13827" width="11.5703125" style="3"/>
    <col min="13828" max="13828" width="10.28515625" style="3" bestFit="1" customWidth="1"/>
    <col min="13829" max="13829" width="11.5703125" style="3"/>
    <col min="13830" max="13830" width="10.28515625" style="3" bestFit="1" customWidth="1"/>
    <col min="13831" max="13831" width="11.5703125" style="3"/>
    <col min="13832" max="13832" width="10.28515625" style="3" bestFit="1" customWidth="1"/>
    <col min="13833" max="13833" width="11.5703125" style="3"/>
    <col min="13834" max="13834" width="10.28515625" style="3" bestFit="1" customWidth="1"/>
    <col min="13835" max="13835" width="11.5703125" style="3"/>
    <col min="13836" max="13836" width="10.28515625" style="3" bestFit="1" customWidth="1"/>
    <col min="13837" max="13837" width="11.5703125" style="3"/>
    <col min="13838" max="13838" width="10.28515625" style="3" bestFit="1" customWidth="1"/>
    <col min="13839" max="13839" width="11.5703125" style="3"/>
    <col min="13840" max="13840" width="10.28515625" style="3" bestFit="1" customWidth="1"/>
    <col min="13841" max="13841" width="11.5703125" style="3"/>
    <col min="13842" max="13842" width="10.28515625" style="3" bestFit="1" customWidth="1"/>
    <col min="13843" max="13843" width="11.5703125" style="3"/>
    <col min="13844" max="13844" width="10.28515625" style="3" bestFit="1" customWidth="1"/>
    <col min="13845" max="13845" width="11.5703125" style="3"/>
    <col min="13846" max="13846" width="10.28515625" style="3" bestFit="1" customWidth="1"/>
    <col min="13847" max="14071" width="11.5703125" style="3"/>
    <col min="14072" max="14072" width="17.28515625" style="3" customWidth="1"/>
    <col min="14073" max="14073" width="7.140625" style="3" bestFit="1" customWidth="1"/>
    <col min="14074" max="14074" width="18.140625" style="3" customWidth="1"/>
    <col min="14075" max="14075" width="7.140625" style="3" bestFit="1" customWidth="1"/>
    <col min="14076" max="14076" width="21.140625" style="3" customWidth="1"/>
    <col min="14077" max="14078" width="0" style="3" hidden="1" customWidth="1"/>
    <col min="14079" max="14079" width="7.7109375" style="3" bestFit="1" customWidth="1"/>
    <col min="14080" max="14080" width="74" style="3" customWidth="1"/>
    <col min="14081" max="14081" width="10" style="3" customWidth="1"/>
    <col min="14082" max="14082" width="6.140625" style="3" bestFit="1" customWidth="1"/>
    <col min="14083" max="14083" width="11.5703125" style="3"/>
    <col min="14084" max="14084" width="10.28515625" style="3" bestFit="1" customWidth="1"/>
    <col min="14085" max="14085" width="11.5703125" style="3"/>
    <col min="14086" max="14086" width="10.28515625" style="3" bestFit="1" customWidth="1"/>
    <col min="14087" max="14087" width="11.5703125" style="3"/>
    <col min="14088" max="14088" width="10.28515625" style="3" bestFit="1" customWidth="1"/>
    <col min="14089" max="14089" width="11.5703125" style="3"/>
    <col min="14090" max="14090" width="10.28515625" style="3" bestFit="1" customWidth="1"/>
    <col min="14091" max="14091" width="11.5703125" style="3"/>
    <col min="14092" max="14092" width="10.28515625" style="3" bestFit="1" customWidth="1"/>
    <col min="14093" max="14093" width="11.5703125" style="3"/>
    <col min="14094" max="14094" width="10.28515625" style="3" bestFit="1" customWidth="1"/>
    <col min="14095" max="14095" width="11.5703125" style="3"/>
    <col min="14096" max="14096" width="10.28515625" style="3" bestFit="1" customWidth="1"/>
    <col min="14097" max="14097" width="11.5703125" style="3"/>
    <col min="14098" max="14098" width="10.28515625" style="3" bestFit="1" customWidth="1"/>
    <col min="14099" max="14099" width="11.5703125" style="3"/>
    <col min="14100" max="14100" width="10.28515625" style="3" bestFit="1" customWidth="1"/>
    <col min="14101" max="14101" width="11.5703125" style="3"/>
    <col min="14102" max="14102" width="10.28515625" style="3" bestFit="1" customWidth="1"/>
    <col min="14103" max="14327" width="11.5703125" style="3"/>
    <col min="14328" max="14328" width="17.28515625" style="3" customWidth="1"/>
    <col min="14329" max="14329" width="7.140625" style="3" bestFit="1" customWidth="1"/>
    <col min="14330" max="14330" width="18.140625" style="3" customWidth="1"/>
    <col min="14331" max="14331" width="7.140625" style="3" bestFit="1" customWidth="1"/>
    <col min="14332" max="14332" width="21.140625" style="3" customWidth="1"/>
    <col min="14333" max="14334" width="0" style="3" hidden="1" customWidth="1"/>
    <col min="14335" max="14335" width="7.7109375" style="3" bestFit="1" customWidth="1"/>
    <col min="14336" max="14336" width="74" style="3" customWidth="1"/>
    <col min="14337" max="14337" width="10" style="3" customWidth="1"/>
    <col min="14338" max="14338" width="6.140625" style="3" bestFit="1" customWidth="1"/>
    <col min="14339" max="14339" width="11.5703125" style="3"/>
    <col min="14340" max="14340" width="10.28515625" style="3" bestFit="1" customWidth="1"/>
    <col min="14341" max="14341" width="11.5703125" style="3"/>
    <col min="14342" max="14342" width="10.28515625" style="3" bestFit="1" customWidth="1"/>
    <col min="14343" max="14343" width="11.5703125" style="3"/>
    <col min="14344" max="14344" width="10.28515625" style="3" bestFit="1" customWidth="1"/>
    <col min="14345" max="14345" width="11.5703125" style="3"/>
    <col min="14346" max="14346" width="10.28515625" style="3" bestFit="1" customWidth="1"/>
    <col min="14347" max="14347" width="11.5703125" style="3"/>
    <col min="14348" max="14348" width="10.28515625" style="3" bestFit="1" customWidth="1"/>
    <col min="14349" max="14349" width="11.5703125" style="3"/>
    <col min="14350" max="14350" width="10.28515625" style="3" bestFit="1" customWidth="1"/>
    <col min="14351" max="14351" width="11.5703125" style="3"/>
    <col min="14352" max="14352" width="10.28515625" style="3" bestFit="1" customWidth="1"/>
    <col min="14353" max="14353" width="11.5703125" style="3"/>
    <col min="14354" max="14354" width="10.28515625" style="3" bestFit="1" customWidth="1"/>
    <col min="14355" max="14355" width="11.5703125" style="3"/>
    <col min="14356" max="14356" width="10.28515625" style="3" bestFit="1" customWidth="1"/>
    <col min="14357" max="14357" width="11.5703125" style="3"/>
    <col min="14358" max="14358" width="10.28515625" style="3" bestFit="1" customWidth="1"/>
    <col min="14359" max="14583" width="11.5703125" style="3"/>
    <col min="14584" max="14584" width="17.28515625" style="3" customWidth="1"/>
    <col min="14585" max="14585" width="7.140625" style="3" bestFit="1" customWidth="1"/>
    <col min="14586" max="14586" width="18.140625" style="3" customWidth="1"/>
    <col min="14587" max="14587" width="7.140625" style="3" bestFit="1" customWidth="1"/>
    <col min="14588" max="14588" width="21.140625" style="3" customWidth="1"/>
    <col min="14589" max="14590" width="0" style="3" hidden="1" customWidth="1"/>
    <col min="14591" max="14591" width="7.7109375" style="3" bestFit="1" customWidth="1"/>
    <col min="14592" max="14592" width="74" style="3" customWidth="1"/>
    <col min="14593" max="14593" width="10" style="3" customWidth="1"/>
    <col min="14594" max="14594" width="6.140625" style="3" bestFit="1" customWidth="1"/>
    <col min="14595" max="14595" width="11.5703125" style="3"/>
    <col min="14596" max="14596" width="10.28515625" style="3" bestFit="1" customWidth="1"/>
    <col min="14597" max="14597" width="11.5703125" style="3"/>
    <col min="14598" max="14598" width="10.28515625" style="3" bestFit="1" customWidth="1"/>
    <col min="14599" max="14599" width="11.5703125" style="3"/>
    <col min="14600" max="14600" width="10.28515625" style="3" bestFit="1" customWidth="1"/>
    <col min="14601" max="14601" width="11.5703125" style="3"/>
    <col min="14602" max="14602" width="10.28515625" style="3" bestFit="1" customWidth="1"/>
    <col min="14603" max="14603" width="11.5703125" style="3"/>
    <col min="14604" max="14604" width="10.28515625" style="3" bestFit="1" customWidth="1"/>
    <col min="14605" max="14605" width="11.5703125" style="3"/>
    <col min="14606" max="14606" width="10.28515625" style="3" bestFit="1" customWidth="1"/>
    <col min="14607" max="14607" width="11.5703125" style="3"/>
    <col min="14608" max="14608" width="10.28515625" style="3" bestFit="1" customWidth="1"/>
    <col min="14609" max="14609" width="11.5703125" style="3"/>
    <col min="14610" max="14610" width="10.28515625" style="3" bestFit="1" customWidth="1"/>
    <col min="14611" max="14611" width="11.5703125" style="3"/>
    <col min="14612" max="14612" width="10.28515625" style="3" bestFit="1" customWidth="1"/>
    <col min="14613" max="14613" width="11.5703125" style="3"/>
    <col min="14614" max="14614" width="10.28515625" style="3" bestFit="1" customWidth="1"/>
    <col min="14615" max="14839" width="11.5703125" style="3"/>
    <col min="14840" max="14840" width="17.28515625" style="3" customWidth="1"/>
    <col min="14841" max="14841" width="7.140625" style="3" bestFit="1" customWidth="1"/>
    <col min="14842" max="14842" width="18.140625" style="3" customWidth="1"/>
    <col min="14843" max="14843" width="7.140625" style="3" bestFit="1" customWidth="1"/>
    <col min="14844" max="14844" width="21.140625" style="3" customWidth="1"/>
    <col min="14845" max="14846" width="0" style="3" hidden="1" customWidth="1"/>
    <col min="14847" max="14847" width="7.7109375" style="3" bestFit="1" customWidth="1"/>
    <col min="14848" max="14848" width="74" style="3" customWidth="1"/>
    <col min="14849" max="14849" width="10" style="3" customWidth="1"/>
    <col min="14850" max="14850" width="6.140625" style="3" bestFit="1" customWidth="1"/>
    <col min="14851" max="14851" width="11.5703125" style="3"/>
    <col min="14852" max="14852" width="10.28515625" style="3" bestFit="1" customWidth="1"/>
    <col min="14853" max="14853" width="11.5703125" style="3"/>
    <col min="14854" max="14854" width="10.28515625" style="3" bestFit="1" customWidth="1"/>
    <col min="14855" max="14855" width="11.5703125" style="3"/>
    <col min="14856" max="14856" width="10.28515625" style="3" bestFit="1" customWidth="1"/>
    <col min="14857" max="14857" width="11.5703125" style="3"/>
    <col min="14858" max="14858" width="10.28515625" style="3" bestFit="1" customWidth="1"/>
    <col min="14859" max="14859" width="11.5703125" style="3"/>
    <col min="14860" max="14860" width="10.28515625" style="3" bestFit="1" customWidth="1"/>
    <col min="14861" max="14861" width="11.5703125" style="3"/>
    <col min="14862" max="14862" width="10.28515625" style="3" bestFit="1" customWidth="1"/>
    <col min="14863" max="14863" width="11.5703125" style="3"/>
    <col min="14864" max="14864" width="10.28515625" style="3" bestFit="1" customWidth="1"/>
    <col min="14865" max="14865" width="11.5703125" style="3"/>
    <col min="14866" max="14866" width="10.28515625" style="3" bestFit="1" customWidth="1"/>
    <col min="14867" max="14867" width="11.5703125" style="3"/>
    <col min="14868" max="14868" width="10.28515625" style="3" bestFit="1" customWidth="1"/>
    <col min="14869" max="14869" width="11.5703125" style="3"/>
    <col min="14870" max="14870" width="10.28515625" style="3" bestFit="1" customWidth="1"/>
    <col min="14871" max="15095" width="11.5703125" style="3"/>
    <col min="15096" max="15096" width="17.28515625" style="3" customWidth="1"/>
    <col min="15097" max="15097" width="7.140625" style="3" bestFit="1" customWidth="1"/>
    <col min="15098" max="15098" width="18.140625" style="3" customWidth="1"/>
    <col min="15099" max="15099" width="7.140625" style="3" bestFit="1" customWidth="1"/>
    <col min="15100" max="15100" width="21.140625" style="3" customWidth="1"/>
    <col min="15101" max="15102" width="0" style="3" hidden="1" customWidth="1"/>
    <col min="15103" max="15103" width="7.7109375" style="3" bestFit="1" customWidth="1"/>
    <col min="15104" max="15104" width="74" style="3" customWidth="1"/>
    <col min="15105" max="15105" width="10" style="3" customWidth="1"/>
    <col min="15106" max="15106" width="6.140625" style="3" bestFit="1" customWidth="1"/>
    <col min="15107" max="15107" width="11.5703125" style="3"/>
    <col min="15108" max="15108" width="10.28515625" style="3" bestFit="1" customWidth="1"/>
    <col min="15109" max="15109" width="11.5703125" style="3"/>
    <col min="15110" max="15110" width="10.28515625" style="3" bestFit="1" customWidth="1"/>
    <col min="15111" max="15111" width="11.5703125" style="3"/>
    <col min="15112" max="15112" width="10.28515625" style="3" bestFit="1" customWidth="1"/>
    <col min="15113" max="15113" width="11.5703125" style="3"/>
    <col min="15114" max="15114" width="10.28515625" style="3" bestFit="1" customWidth="1"/>
    <col min="15115" max="15115" width="11.5703125" style="3"/>
    <col min="15116" max="15116" width="10.28515625" style="3" bestFit="1" customWidth="1"/>
    <col min="15117" max="15117" width="11.5703125" style="3"/>
    <col min="15118" max="15118" width="10.28515625" style="3" bestFit="1" customWidth="1"/>
    <col min="15119" max="15119" width="11.5703125" style="3"/>
    <col min="15120" max="15120" width="10.28515625" style="3" bestFit="1" customWidth="1"/>
    <col min="15121" max="15121" width="11.5703125" style="3"/>
    <col min="15122" max="15122" width="10.28515625" style="3" bestFit="1" customWidth="1"/>
    <col min="15123" max="15123" width="11.5703125" style="3"/>
    <col min="15124" max="15124" width="10.28515625" style="3" bestFit="1" customWidth="1"/>
    <col min="15125" max="15125" width="11.5703125" style="3"/>
    <col min="15126" max="15126" width="10.28515625" style="3" bestFit="1" customWidth="1"/>
    <col min="15127" max="15351" width="11.5703125" style="3"/>
    <col min="15352" max="15352" width="17.28515625" style="3" customWidth="1"/>
    <col min="15353" max="15353" width="7.140625" style="3" bestFit="1" customWidth="1"/>
    <col min="15354" max="15354" width="18.140625" style="3" customWidth="1"/>
    <col min="15355" max="15355" width="7.140625" style="3" bestFit="1" customWidth="1"/>
    <col min="15356" max="15356" width="21.140625" style="3" customWidth="1"/>
    <col min="15357" max="15358" width="0" style="3" hidden="1" customWidth="1"/>
    <col min="15359" max="15359" width="7.7109375" style="3" bestFit="1" customWidth="1"/>
    <col min="15360" max="15360" width="74" style="3" customWidth="1"/>
    <col min="15361" max="15361" width="10" style="3" customWidth="1"/>
    <col min="15362" max="15362" width="6.140625" style="3" bestFit="1" customWidth="1"/>
    <col min="15363" max="15363" width="11.5703125" style="3"/>
    <col min="15364" max="15364" width="10.28515625" style="3" bestFit="1" customWidth="1"/>
    <col min="15365" max="15365" width="11.5703125" style="3"/>
    <col min="15366" max="15366" width="10.28515625" style="3" bestFit="1" customWidth="1"/>
    <col min="15367" max="15367" width="11.5703125" style="3"/>
    <col min="15368" max="15368" width="10.28515625" style="3" bestFit="1" customWidth="1"/>
    <col min="15369" max="15369" width="11.5703125" style="3"/>
    <col min="15370" max="15370" width="10.28515625" style="3" bestFit="1" customWidth="1"/>
    <col min="15371" max="15371" width="11.5703125" style="3"/>
    <col min="15372" max="15372" width="10.28515625" style="3" bestFit="1" customWidth="1"/>
    <col min="15373" max="15373" width="11.5703125" style="3"/>
    <col min="15374" max="15374" width="10.28515625" style="3" bestFit="1" customWidth="1"/>
    <col min="15375" max="15375" width="11.5703125" style="3"/>
    <col min="15376" max="15376" width="10.28515625" style="3" bestFit="1" customWidth="1"/>
    <col min="15377" max="15377" width="11.5703125" style="3"/>
    <col min="15378" max="15378" width="10.28515625" style="3" bestFit="1" customWidth="1"/>
    <col min="15379" max="15379" width="11.5703125" style="3"/>
    <col min="15380" max="15380" width="10.28515625" style="3" bestFit="1" customWidth="1"/>
    <col min="15381" max="15381" width="11.5703125" style="3"/>
    <col min="15382" max="15382" width="10.28515625" style="3" bestFit="1" customWidth="1"/>
    <col min="15383" max="15607" width="11.5703125" style="3"/>
    <col min="15608" max="15608" width="17.28515625" style="3" customWidth="1"/>
    <col min="15609" max="15609" width="7.140625" style="3" bestFit="1" customWidth="1"/>
    <col min="15610" max="15610" width="18.140625" style="3" customWidth="1"/>
    <col min="15611" max="15611" width="7.140625" style="3" bestFit="1" customWidth="1"/>
    <col min="15612" max="15612" width="21.140625" style="3" customWidth="1"/>
    <col min="15613" max="15614" width="0" style="3" hidden="1" customWidth="1"/>
    <col min="15615" max="15615" width="7.7109375" style="3" bestFit="1" customWidth="1"/>
    <col min="15616" max="15616" width="74" style="3" customWidth="1"/>
    <col min="15617" max="15617" width="10" style="3" customWidth="1"/>
    <col min="15618" max="15618" width="6.140625" style="3" bestFit="1" customWidth="1"/>
    <col min="15619" max="15619" width="11.5703125" style="3"/>
    <col min="15620" max="15620" width="10.28515625" style="3" bestFit="1" customWidth="1"/>
    <col min="15621" max="15621" width="11.5703125" style="3"/>
    <col min="15622" max="15622" width="10.28515625" style="3" bestFit="1" customWidth="1"/>
    <col min="15623" max="15623" width="11.5703125" style="3"/>
    <col min="15624" max="15624" width="10.28515625" style="3" bestFit="1" customWidth="1"/>
    <col min="15625" max="15625" width="11.5703125" style="3"/>
    <col min="15626" max="15626" width="10.28515625" style="3" bestFit="1" customWidth="1"/>
    <col min="15627" max="15627" width="11.5703125" style="3"/>
    <col min="15628" max="15628" width="10.28515625" style="3" bestFit="1" customWidth="1"/>
    <col min="15629" max="15629" width="11.5703125" style="3"/>
    <col min="15630" max="15630" width="10.28515625" style="3" bestFit="1" customWidth="1"/>
    <col min="15631" max="15631" width="11.5703125" style="3"/>
    <col min="15632" max="15632" width="10.28515625" style="3" bestFit="1" customWidth="1"/>
    <col min="15633" max="15633" width="11.5703125" style="3"/>
    <col min="15634" max="15634" width="10.28515625" style="3" bestFit="1" customWidth="1"/>
    <col min="15635" max="15635" width="11.5703125" style="3"/>
    <col min="15636" max="15636" width="10.28515625" style="3" bestFit="1" customWidth="1"/>
    <col min="15637" max="15637" width="11.5703125" style="3"/>
    <col min="15638" max="15638" width="10.28515625" style="3" bestFit="1" customWidth="1"/>
    <col min="15639" max="15863" width="11.5703125" style="3"/>
    <col min="15864" max="15864" width="17.28515625" style="3" customWidth="1"/>
    <col min="15865" max="15865" width="7.140625" style="3" bestFit="1" customWidth="1"/>
    <col min="15866" max="15866" width="18.140625" style="3" customWidth="1"/>
    <col min="15867" max="15867" width="7.140625" style="3" bestFit="1" customWidth="1"/>
    <col min="15868" max="15868" width="21.140625" style="3" customWidth="1"/>
    <col min="15869" max="15870" width="0" style="3" hidden="1" customWidth="1"/>
    <col min="15871" max="15871" width="7.7109375" style="3" bestFit="1" customWidth="1"/>
    <col min="15872" max="15872" width="74" style="3" customWidth="1"/>
    <col min="15873" max="15873" width="10" style="3" customWidth="1"/>
    <col min="15874" max="15874" width="6.140625" style="3" bestFit="1" customWidth="1"/>
    <col min="15875" max="15875" width="11.5703125" style="3"/>
    <col min="15876" max="15876" width="10.28515625" style="3" bestFit="1" customWidth="1"/>
    <col min="15877" max="15877" width="11.5703125" style="3"/>
    <col min="15878" max="15878" width="10.28515625" style="3" bestFit="1" customWidth="1"/>
    <col min="15879" max="15879" width="11.5703125" style="3"/>
    <col min="15880" max="15880" width="10.28515625" style="3" bestFit="1" customWidth="1"/>
    <col min="15881" max="15881" width="11.5703125" style="3"/>
    <col min="15882" max="15882" width="10.28515625" style="3" bestFit="1" customWidth="1"/>
    <col min="15883" max="15883" width="11.5703125" style="3"/>
    <col min="15884" max="15884" width="10.28515625" style="3" bestFit="1" customWidth="1"/>
    <col min="15885" max="15885" width="11.5703125" style="3"/>
    <col min="15886" max="15886" width="10.28515625" style="3" bestFit="1" customWidth="1"/>
    <col min="15887" max="15887" width="11.5703125" style="3"/>
    <col min="15888" max="15888" width="10.28515625" style="3" bestFit="1" customWidth="1"/>
    <col min="15889" max="15889" width="11.5703125" style="3"/>
    <col min="15890" max="15890" width="10.28515625" style="3" bestFit="1" customWidth="1"/>
    <col min="15891" max="15891" width="11.5703125" style="3"/>
    <col min="15892" max="15892" width="10.28515625" style="3" bestFit="1" customWidth="1"/>
    <col min="15893" max="15893" width="11.5703125" style="3"/>
    <col min="15894" max="15894" width="10.28515625" style="3" bestFit="1" customWidth="1"/>
    <col min="15895" max="16119" width="11.5703125" style="3"/>
    <col min="16120" max="16120" width="17.28515625" style="3" customWidth="1"/>
    <col min="16121" max="16121" width="7.140625" style="3" bestFit="1" customWidth="1"/>
    <col min="16122" max="16122" width="18.140625" style="3" customWidth="1"/>
    <col min="16123" max="16123" width="7.140625" style="3" bestFit="1" customWidth="1"/>
    <col min="16124" max="16124" width="21.140625" style="3" customWidth="1"/>
    <col min="16125" max="16126" width="0" style="3" hidden="1" customWidth="1"/>
    <col min="16127" max="16127" width="7.7109375" style="3" bestFit="1" customWidth="1"/>
    <col min="16128" max="16128" width="74" style="3" customWidth="1"/>
    <col min="16129" max="16129" width="10" style="3" customWidth="1"/>
    <col min="16130" max="16130" width="6.140625" style="3" bestFit="1" customWidth="1"/>
    <col min="16131" max="16131" width="11.5703125" style="3"/>
    <col min="16132" max="16132" width="10.28515625" style="3" bestFit="1" customWidth="1"/>
    <col min="16133" max="16133" width="11.5703125" style="3"/>
    <col min="16134" max="16134" width="10.28515625" style="3" bestFit="1" customWidth="1"/>
    <col min="16135" max="16135" width="11.5703125" style="3"/>
    <col min="16136" max="16136" width="10.28515625" style="3" bestFit="1" customWidth="1"/>
    <col min="16137" max="16137" width="11.5703125" style="3"/>
    <col min="16138" max="16138" width="10.28515625" style="3" bestFit="1" customWidth="1"/>
    <col min="16139" max="16139" width="11.5703125" style="3"/>
    <col min="16140" max="16140" width="10.28515625" style="3" bestFit="1" customWidth="1"/>
    <col min="16141" max="16141" width="11.5703125" style="3"/>
    <col min="16142" max="16142" width="10.28515625" style="3" bestFit="1" customWidth="1"/>
    <col min="16143" max="16143" width="11.5703125" style="3"/>
    <col min="16144" max="16144" width="10.28515625" style="3" bestFit="1" customWidth="1"/>
    <col min="16145" max="16145" width="11.5703125" style="3"/>
    <col min="16146" max="16146" width="10.28515625" style="3" bestFit="1" customWidth="1"/>
    <col min="16147" max="16147" width="11.5703125" style="3"/>
    <col min="16148" max="16148" width="10.28515625" style="3" bestFit="1" customWidth="1"/>
    <col min="16149" max="16149" width="11.5703125" style="3"/>
    <col min="16150" max="16150" width="10.28515625" style="3" bestFit="1" customWidth="1"/>
    <col min="16151" max="16384" width="11.5703125" style="3"/>
  </cols>
  <sheetData>
    <row r="1" spans="2:28" ht="19.899999999999999" customHeight="1" x14ac:dyDescent="0.2"/>
    <row r="2" spans="2:28" ht="18.75" thickBot="1" x14ac:dyDescent="0.25">
      <c r="B2" s="6" t="s">
        <v>755</v>
      </c>
    </row>
    <row r="3" spans="2:28" ht="15" customHeight="1" x14ac:dyDescent="0.2">
      <c r="B3" s="117" t="s">
        <v>0</v>
      </c>
      <c r="C3" s="118"/>
      <c r="D3" s="119"/>
      <c r="E3" s="109" t="s">
        <v>1</v>
      </c>
      <c r="F3" s="110"/>
      <c r="G3" s="104" t="s">
        <v>2</v>
      </c>
      <c r="H3" s="105"/>
      <c r="I3" s="105"/>
      <c r="J3" s="105"/>
      <c r="K3" s="106"/>
      <c r="L3" s="113" t="s">
        <v>3</v>
      </c>
      <c r="M3" s="114"/>
      <c r="N3" s="114"/>
      <c r="O3" s="114"/>
      <c r="P3" s="115" t="s">
        <v>20</v>
      </c>
      <c r="Q3" s="1" t="s">
        <v>4</v>
      </c>
      <c r="R3" s="1" t="s">
        <v>5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10</v>
      </c>
      <c r="X3" s="1" t="s">
        <v>11</v>
      </c>
      <c r="Y3" s="2" t="s">
        <v>12</v>
      </c>
      <c r="Z3" s="2" t="s">
        <v>13</v>
      </c>
      <c r="AA3" s="2" t="s">
        <v>14</v>
      </c>
      <c r="AB3" s="60" t="s">
        <v>15</v>
      </c>
    </row>
    <row r="4" spans="2:28" ht="39" thickBot="1" x14ac:dyDescent="0.25">
      <c r="B4" s="56" t="s">
        <v>16</v>
      </c>
      <c r="C4" s="55" t="s">
        <v>836</v>
      </c>
      <c r="D4" s="55" t="s">
        <v>834</v>
      </c>
      <c r="E4" s="54" t="s">
        <v>16</v>
      </c>
      <c r="F4" s="54" t="s">
        <v>18</v>
      </c>
      <c r="G4" s="47" t="s">
        <v>16</v>
      </c>
      <c r="H4" s="47" t="s">
        <v>17</v>
      </c>
      <c r="I4" s="47"/>
      <c r="J4" s="47"/>
      <c r="K4" s="47" t="s">
        <v>834</v>
      </c>
      <c r="L4" s="57" t="s">
        <v>834</v>
      </c>
      <c r="M4" s="57" t="s">
        <v>16</v>
      </c>
      <c r="N4" s="57" t="s">
        <v>17</v>
      </c>
      <c r="O4" s="77" t="s">
        <v>19</v>
      </c>
      <c r="P4" s="116"/>
      <c r="Q4" s="58" t="s">
        <v>756</v>
      </c>
      <c r="R4" s="58" t="s">
        <v>756</v>
      </c>
      <c r="S4" s="58" t="s">
        <v>756</v>
      </c>
      <c r="T4" s="58" t="s">
        <v>756</v>
      </c>
      <c r="U4" s="58" t="s">
        <v>756</v>
      </c>
      <c r="V4" s="58" t="s">
        <v>756</v>
      </c>
      <c r="W4" s="58" t="s">
        <v>756</v>
      </c>
      <c r="X4" s="58" t="s">
        <v>756</v>
      </c>
      <c r="Y4" s="58" t="s">
        <v>756</v>
      </c>
      <c r="Z4" s="58" t="s">
        <v>756</v>
      </c>
      <c r="AA4" s="58" t="s">
        <v>756</v>
      </c>
      <c r="AB4" s="59" t="s">
        <v>756</v>
      </c>
    </row>
    <row r="5" spans="2:28" ht="13.5" thickBot="1" x14ac:dyDescent="0.25">
      <c r="B5" s="30"/>
      <c r="C5" s="40"/>
      <c r="D5" s="40"/>
      <c r="E5" s="40"/>
      <c r="F5" s="40"/>
      <c r="G5" s="61"/>
      <c r="H5" s="40"/>
      <c r="I5" s="40"/>
      <c r="J5" s="40"/>
      <c r="K5" s="33"/>
      <c r="L5" s="33"/>
      <c r="M5" s="30"/>
      <c r="N5" s="63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spans="2:28" ht="21.6" customHeight="1" x14ac:dyDescent="0.2">
      <c r="B6" s="85" t="s">
        <v>21</v>
      </c>
      <c r="C6" s="88" t="s">
        <v>22</v>
      </c>
      <c r="D6" s="112">
        <f>SUM(K6:K23)</f>
        <v>17421576.300000004</v>
      </c>
      <c r="E6" s="91">
        <v>1</v>
      </c>
      <c r="F6" s="91" t="s">
        <v>757</v>
      </c>
      <c r="G6" s="92" t="s">
        <v>23</v>
      </c>
      <c r="H6" s="93" t="s">
        <v>830</v>
      </c>
      <c r="I6" s="9"/>
      <c r="J6" s="9"/>
      <c r="K6" s="97">
        <f>SUM(L6:L13)</f>
        <v>11142116.48</v>
      </c>
      <c r="L6" s="42">
        <v>3421357.4</v>
      </c>
      <c r="M6" s="8" t="s">
        <v>24</v>
      </c>
      <c r="N6" s="10" t="s">
        <v>25</v>
      </c>
      <c r="O6" s="8" t="s">
        <v>26</v>
      </c>
      <c r="P6" s="8">
        <v>25</v>
      </c>
      <c r="Q6" s="8">
        <v>2</v>
      </c>
      <c r="R6" s="8">
        <v>2</v>
      </c>
      <c r="S6" s="8">
        <v>2</v>
      </c>
      <c r="T6" s="8">
        <v>2</v>
      </c>
      <c r="U6" s="8">
        <v>2</v>
      </c>
      <c r="V6" s="8">
        <v>2</v>
      </c>
      <c r="W6" s="8">
        <v>2</v>
      </c>
      <c r="X6" s="8">
        <v>2</v>
      </c>
      <c r="Y6" s="8">
        <v>2</v>
      </c>
      <c r="Z6" s="8">
        <v>2</v>
      </c>
      <c r="AA6" s="8">
        <v>2</v>
      </c>
      <c r="AB6" s="11">
        <v>3</v>
      </c>
    </row>
    <row r="7" spans="2:28" ht="30" customHeight="1" x14ac:dyDescent="0.2">
      <c r="B7" s="86"/>
      <c r="C7" s="89"/>
      <c r="D7" s="79"/>
      <c r="E7" s="79"/>
      <c r="F7" s="79"/>
      <c r="G7" s="81"/>
      <c r="H7" s="83"/>
      <c r="I7" s="15"/>
      <c r="J7" s="15"/>
      <c r="K7" s="98"/>
      <c r="L7" s="43">
        <v>784101.05000000016</v>
      </c>
      <c r="M7" s="14" t="s">
        <v>27</v>
      </c>
      <c r="N7" s="16" t="s">
        <v>28</v>
      </c>
      <c r="O7" s="14" t="s">
        <v>29</v>
      </c>
      <c r="P7" s="76">
        <v>1</v>
      </c>
      <c r="Q7" s="17"/>
      <c r="R7" s="17"/>
      <c r="S7" s="14"/>
      <c r="T7" s="14"/>
      <c r="U7" s="14"/>
      <c r="V7" s="14"/>
      <c r="W7" s="14">
        <v>1</v>
      </c>
      <c r="X7" s="14"/>
      <c r="Y7" s="14"/>
      <c r="Z7" s="14"/>
      <c r="AA7" s="14"/>
      <c r="AB7" s="18"/>
    </row>
    <row r="8" spans="2:28" ht="22.9" customHeight="1" x14ac:dyDescent="0.2">
      <c r="B8" s="86"/>
      <c r="C8" s="89"/>
      <c r="D8" s="79"/>
      <c r="E8" s="79"/>
      <c r="F8" s="79"/>
      <c r="G8" s="81"/>
      <c r="H8" s="83"/>
      <c r="I8" s="15"/>
      <c r="J8" s="15"/>
      <c r="K8" s="98"/>
      <c r="L8" s="43">
        <v>768895.30000000016</v>
      </c>
      <c r="M8" s="14" t="s">
        <v>30</v>
      </c>
      <c r="N8" s="19" t="s">
        <v>31</v>
      </c>
      <c r="O8" s="14" t="s">
        <v>32</v>
      </c>
      <c r="P8" s="14">
        <v>9</v>
      </c>
      <c r="Q8" s="14"/>
      <c r="R8" s="14"/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8"/>
    </row>
    <row r="9" spans="2:28" ht="25.5" x14ac:dyDescent="0.2">
      <c r="B9" s="86"/>
      <c r="C9" s="89"/>
      <c r="D9" s="79"/>
      <c r="E9" s="79"/>
      <c r="F9" s="79"/>
      <c r="G9" s="81"/>
      <c r="H9" s="83"/>
      <c r="I9" s="15"/>
      <c r="J9" s="15"/>
      <c r="K9" s="98"/>
      <c r="L9" s="43">
        <v>784102.13000000012</v>
      </c>
      <c r="M9" s="14" t="s">
        <v>33</v>
      </c>
      <c r="N9" s="19" t="s">
        <v>34</v>
      </c>
      <c r="O9" s="13" t="s">
        <v>35</v>
      </c>
      <c r="P9" s="14">
        <v>1</v>
      </c>
      <c r="Q9" s="14"/>
      <c r="R9" s="14"/>
      <c r="S9" s="14"/>
      <c r="T9" s="14"/>
      <c r="U9" s="14"/>
      <c r="V9" s="14"/>
      <c r="W9" s="14"/>
      <c r="X9" s="14"/>
      <c r="Y9" s="14"/>
      <c r="Z9" s="14">
        <v>1</v>
      </c>
      <c r="AA9" s="14"/>
      <c r="AB9" s="18"/>
    </row>
    <row r="10" spans="2:28" ht="25.5" x14ac:dyDescent="0.2">
      <c r="B10" s="86"/>
      <c r="C10" s="89"/>
      <c r="D10" s="79"/>
      <c r="E10" s="79"/>
      <c r="F10" s="79"/>
      <c r="G10" s="81"/>
      <c r="H10" s="83"/>
      <c r="I10" s="15"/>
      <c r="J10" s="15"/>
      <c r="K10" s="98"/>
      <c r="L10" s="43">
        <v>784102.16000000015</v>
      </c>
      <c r="M10" s="14" t="s">
        <v>36</v>
      </c>
      <c r="N10" s="19" t="s">
        <v>37</v>
      </c>
      <c r="O10" s="20" t="s">
        <v>38</v>
      </c>
      <c r="P10" s="14" t="s">
        <v>829</v>
      </c>
      <c r="Q10" s="14"/>
      <c r="R10" s="14"/>
      <c r="S10" s="14">
        <v>1</v>
      </c>
      <c r="T10" s="14"/>
      <c r="U10" s="14"/>
      <c r="V10" s="14">
        <v>1</v>
      </c>
      <c r="W10" s="14"/>
      <c r="X10" s="14"/>
      <c r="Y10" s="14">
        <v>1</v>
      </c>
      <c r="Z10" s="14"/>
      <c r="AA10" s="14"/>
      <c r="AB10" s="18">
        <v>1</v>
      </c>
    </row>
    <row r="11" spans="2:28" ht="25.5" x14ac:dyDescent="0.2">
      <c r="B11" s="86"/>
      <c r="C11" s="89"/>
      <c r="D11" s="79"/>
      <c r="E11" s="79"/>
      <c r="F11" s="79"/>
      <c r="G11" s="81"/>
      <c r="H11" s="83"/>
      <c r="I11" s="15"/>
      <c r="J11" s="15"/>
      <c r="K11" s="98"/>
      <c r="L11" s="43">
        <v>3031354.2000000007</v>
      </c>
      <c r="M11" s="14" t="s">
        <v>39</v>
      </c>
      <c r="N11" s="19" t="s">
        <v>40</v>
      </c>
      <c r="O11" s="20" t="s">
        <v>41</v>
      </c>
      <c r="P11" s="14">
        <v>12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4">
        <v>1</v>
      </c>
      <c r="AA11" s="14">
        <v>1</v>
      </c>
      <c r="AB11" s="18">
        <v>1</v>
      </c>
    </row>
    <row r="12" spans="2:28" ht="25.5" x14ac:dyDescent="0.2">
      <c r="B12" s="86"/>
      <c r="C12" s="89"/>
      <c r="D12" s="79"/>
      <c r="E12" s="79"/>
      <c r="F12" s="79"/>
      <c r="G12" s="81"/>
      <c r="H12" s="83"/>
      <c r="I12" s="15"/>
      <c r="J12" s="15"/>
      <c r="K12" s="98"/>
      <c r="L12" s="43">
        <v>784102.16000000015</v>
      </c>
      <c r="M12" s="14" t="s">
        <v>42</v>
      </c>
      <c r="N12" s="19" t="s">
        <v>43</v>
      </c>
      <c r="O12" s="20" t="s">
        <v>44</v>
      </c>
      <c r="P12" s="14">
        <v>4</v>
      </c>
      <c r="Q12" s="14"/>
      <c r="R12" s="14"/>
      <c r="S12" s="14">
        <v>1</v>
      </c>
      <c r="T12" s="14"/>
      <c r="U12" s="14"/>
      <c r="V12" s="14">
        <v>1</v>
      </c>
      <c r="W12" s="14"/>
      <c r="X12" s="14"/>
      <c r="Y12" s="14">
        <v>1</v>
      </c>
      <c r="Z12" s="14"/>
      <c r="AA12" s="14"/>
      <c r="AB12" s="18">
        <v>1</v>
      </c>
    </row>
    <row r="13" spans="2:28" ht="25.5" x14ac:dyDescent="0.2">
      <c r="B13" s="86"/>
      <c r="C13" s="89"/>
      <c r="D13" s="79"/>
      <c r="E13" s="79"/>
      <c r="F13" s="79"/>
      <c r="G13" s="81"/>
      <c r="H13" s="83"/>
      <c r="I13" s="15"/>
      <c r="J13" s="15"/>
      <c r="K13" s="99"/>
      <c r="L13" s="43">
        <v>784102.08000000007</v>
      </c>
      <c r="M13" s="14" t="s">
        <v>45</v>
      </c>
      <c r="N13" s="19" t="s">
        <v>46</v>
      </c>
      <c r="O13" s="21" t="s">
        <v>47</v>
      </c>
      <c r="P13" s="14">
        <v>12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1</v>
      </c>
      <c r="Y13" s="14">
        <v>1</v>
      </c>
      <c r="Z13" s="14">
        <v>1</v>
      </c>
      <c r="AA13" s="14">
        <v>1</v>
      </c>
      <c r="AB13" s="18">
        <v>1</v>
      </c>
    </row>
    <row r="14" spans="2:28" ht="53.45" customHeight="1" x14ac:dyDescent="0.2">
      <c r="B14" s="86"/>
      <c r="C14" s="89"/>
      <c r="D14" s="79"/>
      <c r="E14" s="79">
        <v>60</v>
      </c>
      <c r="F14" s="79" t="s">
        <v>758</v>
      </c>
      <c r="G14" s="81" t="s">
        <v>48</v>
      </c>
      <c r="H14" s="83" t="s">
        <v>49</v>
      </c>
      <c r="I14" s="15"/>
      <c r="J14" s="15"/>
      <c r="K14" s="100">
        <f>SUM(L14:L15)</f>
        <v>479074.56</v>
      </c>
      <c r="L14" s="43">
        <v>464074.56</v>
      </c>
      <c r="M14" s="14" t="s">
        <v>50</v>
      </c>
      <c r="N14" s="19" t="s">
        <v>25</v>
      </c>
      <c r="O14" s="14" t="s">
        <v>26</v>
      </c>
      <c r="P14" s="14">
        <v>25</v>
      </c>
      <c r="Q14" s="14">
        <v>2</v>
      </c>
      <c r="R14" s="14">
        <v>2</v>
      </c>
      <c r="S14" s="14">
        <v>2</v>
      </c>
      <c r="T14" s="14">
        <v>2</v>
      </c>
      <c r="U14" s="14">
        <v>2</v>
      </c>
      <c r="V14" s="14">
        <v>2</v>
      </c>
      <c r="W14" s="14">
        <v>2</v>
      </c>
      <c r="X14" s="14">
        <v>2</v>
      </c>
      <c r="Y14" s="14">
        <v>2</v>
      </c>
      <c r="Z14" s="14">
        <v>2</v>
      </c>
      <c r="AA14" s="14">
        <v>2</v>
      </c>
      <c r="AB14" s="18">
        <v>3</v>
      </c>
    </row>
    <row r="15" spans="2:28" ht="46.9" customHeight="1" x14ac:dyDescent="0.2">
      <c r="B15" s="86"/>
      <c r="C15" s="89"/>
      <c r="D15" s="79"/>
      <c r="E15" s="79"/>
      <c r="F15" s="79"/>
      <c r="G15" s="81"/>
      <c r="H15" s="83"/>
      <c r="I15" s="15"/>
      <c r="J15" s="15"/>
      <c r="K15" s="101"/>
      <c r="L15" s="43">
        <v>15000</v>
      </c>
      <c r="M15" s="14" t="s">
        <v>51</v>
      </c>
      <c r="N15" s="19" t="s">
        <v>52</v>
      </c>
      <c r="O15" s="14" t="s">
        <v>53</v>
      </c>
      <c r="P15" s="14">
        <v>12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8">
        <v>1</v>
      </c>
    </row>
    <row r="16" spans="2:28" ht="31.15" customHeight="1" x14ac:dyDescent="0.2">
      <c r="B16" s="86"/>
      <c r="C16" s="89"/>
      <c r="D16" s="79"/>
      <c r="E16" s="79">
        <v>18</v>
      </c>
      <c r="F16" s="79" t="s">
        <v>759</v>
      </c>
      <c r="G16" s="81" t="s">
        <v>54</v>
      </c>
      <c r="H16" s="83" t="s">
        <v>55</v>
      </c>
      <c r="I16" s="15"/>
      <c r="J16" s="15"/>
      <c r="K16" s="100">
        <f>SUM(L16:L18)</f>
        <v>4993728.0900000008</v>
      </c>
      <c r="L16" s="43">
        <v>2655895.29</v>
      </c>
      <c r="M16" s="14" t="s">
        <v>56</v>
      </c>
      <c r="N16" s="19" t="s">
        <v>25</v>
      </c>
      <c r="O16" s="14" t="s">
        <v>26</v>
      </c>
      <c r="P16" s="14">
        <v>25</v>
      </c>
      <c r="Q16" s="14">
        <v>2</v>
      </c>
      <c r="R16" s="14">
        <v>2</v>
      </c>
      <c r="S16" s="14">
        <v>2</v>
      </c>
      <c r="T16" s="14">
        <v>2</v>
      </c>
      <c r="U16" s="14">
        <v>2</v>
      </c>
      <c r="V16" s="14">
        <v>2</v>
      </c>
      <c r="W16" s="14">
        <v>2</v>
      </c>
      <c r="X16" s="14">
        <v>2</v>
      </c>
      <c r="Y16" s="14">
        <v>2</v>
      </c>
      <c r="Z16" s="14">
        <v>2</v>
      </c>
      <c r="AA16" s="14">
        <v>2</v>
      </c>
      <c r="AB16" s="18">
        <v>3</v>
      </c>
    </row>
    <row r="17" spans="2:28" ht="38.25" x14ac:dyDescent="0.2">
      <c r="B17" s="86"/>
      <c r="C17" s="89"/>
      <c r="D17" s="79"/>
      <c r="E17" s="79"/>
      <c r="F17" s="79"/>
      <c r="G17" s="81"/>
      <c r="H17" s="83"/>
      <c r="I17" s="15"/>
      <c r="J17" s="15"/>
      <c r="K17" s="102"/>
      <c r="L17" s="43">
        <v>1168916.4000000001</v>
      </c>
      <c r="M17" s="14" t="s">
        <v>57</v>
      </c>
      <c r="N17" s="19" t="s">
        <v>58</v>
      </c>
      <c r="O17" s="13" t="s">
        <v>59</v>
      </c>
      <c r="P17" s="14">
        <v>12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8">
        <v>1</v>
      </c>
    </row>
    <row r="18" spans="2:28" ht="25.5" x14ac:dyDescent="0.2">
      <c r="B18" s="86"/>
      <c r="C18" s="89"/>
      <c r="D18" s="79"/>
      <c r="E18" s="79"/>
      <c r="F18" s="79"/>
      <c r="G18" s="81"/>
      <c r="H18" s="83"/>
      <c r="I18" s="15"/>
      <c r="J18" s="15"/>
      <c r="K18" s="101"/>
      <c r="L18" s="43">
        <v>1168916.4000000001</v>
      </c>
      <c r="M18" s="14" t="s">
        <v>60</v>
      </c>
      <c r="N18" s="19" t="s">
        <v>61</v>
      </c>
      <c r="O18" s="13" t="s">
        <v>62</v>
      </c>
      <c r="P18" s="14">
        <v>12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8">
        <v>1</v>
      </c>
    </row>
    <row r="19" spans="2:28" ht="12.75" x14ac:dyDescent="0.2">
      <c r="B19" s="86"/>
      <c r="C19" s="89"/>
      <c r="D19" s="79"/>
      <c r="E19" s="79">
        <v>40</v>
      </c>
      <c r="F19" s="79" t="s">
        <v>760</v>
      </c>
      <c r="G19" s="81" t="s">
        <v>63</v>
      </c>
      <c r="H19" s="83" t="s">
        <v>64</v>
      </c>
      <c r="I19" s="15"/>
      <c r="J19" s="15"/>
      <c r="K19" s="100">
        <f>SUM(L19:L23)</f>
        <v>806657.17000000016</v>
      </c>
      <c r="L19" s="43">
        <v>725655.29</v>
      </c>
      <c r="M19" s="14" t="s">
        <v>65</v>
      </c>
      <c r="N19" s="19" t="s">
        <v>25</v>
      </c>
      <c r="O19" s="14" t="s">
        <v>26</v>
      </c>
      <c r="P19" s="14">
        <v>25</v>
      </c>
      <c r="Q19" s="14">
        <v>2</v>
      </c>
      <c r="R19" s="14">
        <v>2</v>
      </c>
      <c r="S19" s="14">
        <v>2</v>
      </c>
      <c r="T19" s="14">
        <v>2</v>
      </c>
      <c r="U19" s="14">
        <v>2</v>
      </c>
      <c r="V19" s="14">
        <v>2</v>
      </c>
      <c r="W19" s="14">
        <v>2</v>
      </c>
      <c r="X19" s="14">
        <v>2</v>
      </c>
      <c r="Y19" s="14">
        <v>2</v>
      </c>
      <c r="Z19" s="14">
        <v>2</v>
      </c>
      <c r="AA19" s="14">
        <v>2</v>
      </c>
      <c r="AB19" s="18">
        <v>3</v>
      </c>
    </row>
    <row r="20" spans="2:28" ht="25.5" x14ac:dyDescent="0.2">
      <c r="B20" s="86"/>
      <c r="C20" s="89"/>
      <c r="D20" s="79"/>
      <c r="E20" s="79"/>
      <c r="F20" s="79"/>
      <c r="G20" s="81"/>
      <c r="H20" s="83"/>
      <c r="I20" s="15"/>
      <c r="J20" s="15"/>
      <c r="K20" s="102"/>
      <c r="L20" s="43">
        <v>5710.92</v>
      </c>
      <c r="M20" s="14" t="s">
        <v>66</v>
      </c>
      <c r="N20" s="19" t="s">
        <v>67</v>
      </c>
      <c r="O20" s="14" t="s">
        <v>68</v>
      </c>
      <c r="P20" s="14">
        <v>12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1</v>
      </c>
      <c r="X20" s="14">
        <v>1</v>
      </c>
      <c r="Y20" s="14">
        <v>1</v>
      </c>
      <c r="Z20" s="14">
        <v>1</v>
      </c>
      <c r="AA20" s="14">
        <v>1</v>
      </c>
      <c r="AB20" s="18">
        <v>1</v>
      </c>
    </row>
    <row r="21" spans="2:28" ht="25.5" x14ac:dyDescent="0.2">
      <c r="B21" s="86"/>
      <c r="C21" s="89"/>
      <c r="D21" s="79"/>
      <c r="E21" s="79"/>
      <c r="F21" s="79"/>
      <c r="G21" s="81"/>
      <c r="H21" s="83"/>
      <c r="I21" s="15"/>
      <c r="J21" s="15"/>
      <c r="K21" s="102"/>
      <c r="L21" s="43">
        <v>5467.92</v>
      </c>
      <c r="M21" s="14" t="s">
        <v>69</v>
      </c>
      <c r="N21" s="19" t="s">
        <v>70</v>
      </c>
      <c r="O21" s="13" t="s">
        <v>71</v>
      </c>
      <c r="P21" s="14">
        <v>4</v>
      </c>
      <c r="Q21" s="14"/>
      <c r="R21" s="14"/>
      <c r="S21" s="14">
        <v>1</v>
      </c>
      <c r="T21" s="14"/>
      <c r="U21" s="14"/>
      <c r="V21" s="14">
        <v>1</v>
      </c>
      <c r="W21" s="14"/>
      <c r="X21" s="14"/>
      <c r="Y21" s="14">
        <v>1</v>
      </c>
      <c r="Z21" s="14"/>
      <c r="AA21" s="14"/>
      <c r="AB21" s="18">
        <v>1</v>
      </c>
    </row>
    <row r="22" spans="2:28" ht="25.5" x14ac:dyDescent="0.2">
      <c r="B22" s="86"/>
      <c r="C22" s="89"/>
      <c r="D22" s="79"/>
      <c r="E22" s="79"/>
      <c r="F22" s="79"/>
      <c r="G22" s="81"/>
      <c r="H22" s="83"/>
      <c r="I22" s="15"/>
      <c r="J22" s="15"/>
      <c r="K22" s="102"/>
      <c r="L22" s="43">
        <v>64355.12000000001</v>
      </c>
      <c r="M22" s="14" t="s">
        <v>72</v>
      </c>
      <c r="N22" s="19" t="s">
        <v>73</v>
      </c>
      <c r="O22" s="14" t="s">
        <v>74</v>
      </c>
      <c r="P22" s="14">
        <v>4</v>
      </c>
      <c r="Q22" s="14"/>
      <c r="R22" s="14"/>
      <c r="S22" s="14">
        <v>1</v>
      </c>
      <c r="T22" s="14"/>
      <c r="U22" s="14"/>
      <c r="V22" s="14">
        <v>1</v>
      </c>
      <c r="W22" s="14"/>
      <c r="X22" s="14"/>
      <c r="Y22" s="14">
        <v>1</v>
      </c>
      <c r="Z22" s="14"/>
      <c r="AA22" s="14"/>
      <c r="AB22" s="18">
        <v>1</v>
      </c>
    </row>
    <row r="23" spans="2:28" ht="13.5" thickBot="1" x14ac:dyDescent="0.25">
      <c r="B23" s="87"/>
      <c r="C23" s="90"/>
      <c r="D23" s="80"/>
      <c r="E23" s="80"/>
      <c r="F23" s="80"/>
      <c r="G23" s="82"/>
      <c r="H23" s="84"/>
      <c r="I23" s="24"/>
      <c r="J23" s="24"/>
      <c r="K23" s="103"/>
      <c r="L23" s="44">
        <v>5467.92</v>
      </c>
      <c r="M23" s="23" t="s">
        <v>75</v>
      </c>
      <c r="N23" s="25" t="s">
        <v>76</v>
      </c>
      <c r="O23" s="23" t="s">
        <v>77</v>
      </c>
      <c r="P23" s="23">
        <v>24</v>
      </c>
      <c r="Q23" s="23">
        <v>2</v>
      </c>
      <c r="R23" s="23">
        <v>2</v>
      </c>
      <c r="S23" s="23">
        <v>2</v>
      </c>
      <c r="T23" s="23">
        <v>2</v>
      </c>
      <c r="U23" s="23">
        <v>2</v>
      </c>
      <c r="V23" s="23">
        <v>2</v>
      </c>
      <c r="W23" s="23">
        <v>2</v>
      </c>
      <c r="X23" s="23">
        <v>2</v>
      </c>
      <c r="Y23" s="23">
        <v>2</v>
      </c>
      <c r="Z23" s="23">
        <v>2</v>
      </c>
      <c r="AA23" s="23">
        <v>2</v>
      </c>
      <c r="AB23" s="26">
        <v>2</v>
      </c>
    </row>
    <row r="24" spans="2:28" ht="13.5" thickBot="1" x14ac:dyDescent="0.25">
      <c r="B24" s="30"/>
      <c r="C24" s="40"/>
      <c r="D24" s="40"/>
      <c r="E24" s="40"/>
      <c r="F24" s="40"/>
      <c r="G24" s="61"/>
      <c r="H24" s="40"/>
      <c r="I24" s="40"/>
      <c r="J24" s="40"/>
      <c r="K24" s="62">
        <f>SUM(K6:K23)</f>
        <v>17421576.300000004</v>
      </c>
      <c r="L24" s="33"/>
      <c r="M24" s="30"/>
      <c r="N24" s="6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 spans="2:28" ht="12.75" x14ac:dyDescent="0.2">
      <c r="B25" s="85" t="s">
        <v>78</v>
      </c>
      <c r="C25" s="88" t="s">
        <v>79</v>
      </c>
      <c r="D25" s="111">
        <f>SUM(K25:K39)</f>
        <v>5964243.8599999994</v>
      </c>
      <c r="E25" s="91">
        <v>3</v>
      </c>
      <c r="F25" s="91" t="s">
        <v>761</v>
      </c>
      <c r="G25" s="92" t="s">
        <v>23</v>
      </c>
      <c r="H25" s="93" t="s">
        <v>80</v>
      </c>
      <c r="I25" s="9"/>
      <c r="J25" s="9"/>
      <c r="K25" s="111">
        <f>SUM(L25:L28)</f>
        <v>2341351.0099999998</v>
      </c>
      <c r="L25" s="42">
        <v>1297974.2299999997</v>
      </c>
      <c r="M25" s="8" t="s">
        <v>24</v>
      </c>
      <c r="N25" s="10" t="s">
        <v>25</v>
      </c>
      <c r="O25" s="8" t="s">
        <v>81</v>
      </c>
      <c r="P25" s="8">
        <v>25</v>
      </c>
      <c r="Q25" s="8">
        <v>2</v>
      </c>
      <c r="R25" s="8">
        <v>2</v>
      </c>
      <c r="S25" s="8">
        <v>2</v>
      </c>
      <c r="T25" s="8">
        <v>2</v>
      </c>
      <c r="U25" s="8">
        <v>2</v>
      </c>
      <c r="V25" s="8">
        <v>2</v>
      </c>
      <c r="W25" s="8">
        <v>2</v>
      </c>
      <c r="X25" s="8">
        <v>2</v>
      </c>
      <c r="Y25" s="8">
        <v>2</v>
      </c>
      <c r="Z25" s="8">
        <v>2</v>
      </c>
      <c r="AA25" s="8">
        <v>2</v>
      </c>
      <c r="AB25" s="11">
        <v>3</v>
      </c>
    </row>
    <row r="26" spans="2:28" ht="38.25" x14ac:dyDescent="0.2">
      <c r="B26" s="86"/>
      <c r="C26" s="89"/>
      <c r="D26" s="102"/>
      <c r="E26" s="79"/>
      <c r="F26" s="79"/>
      <c r="G26" s="81"/>
      <c r="H26" s="83"/>
      <c r="I26" s="15"/>
      <c r="J26" s="15"/>
      <c r="K26" s="102"/>
      <c r="L26" s="43">
        <v>347792.25</v>
      </c>
      <c r="M26" s="14" t="s">
        <v>27</v>
      </c>
      <c r="N26" s="19" t="s">
        <v>82</v>
      </c>
      <c r="O26" s="13" t="s">
        <v>83</v>
      </c>
      <c r="P26" s="14">
        <v>10</v>
      </c>
      <c r="Q26" s="14"/>
      <c r="R26" s="14"/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8">
        <v>1</v>
      </c>
    </row>
    <row r="27" spans="2:28" ht="12.75" x14ac:dyDescent="0.2">
      <c r="B27" s="86"/>
      <c r="C27" s="89"/>
      <c r="D27" s="102"/>
      <c r="E27" s="79"/>
      <c r="F27" s="79"/>
      <c r="G27" s="81"/>
      <c r="H27" s="83"/>
      <c r="I27" s="15"/>
      <c r="J27" s="15"/>
      <c r="K27" s="102"/>
      <c r="L27" s="43">
        <v>347792.25</v>
      </c>
      <c r="M27" s="14" t="s">
        <v>30</v>
      </c>
      <c r="N27" s="19" t="s">
        <v>84</v>
      </c>
      <c r="O27" s="14" t="s">
        <v>85</v>
      </c>
      <c r="P27" s="14">
        <v>12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8">
        <v>1</v>
      </c>
    </row>
    <row r="28" spans="2:28" ht="25.5" x14ac:dyDescent="0.2">
      <c r="B28" s="86"/>
      <c r="C28" s="89"/>
      <c r="D28" s="102"/>
      <c r="E28" s="79"/>
      <c r="F28" s="79"/>
      <c r="G28" s="81"/>
      <c r="H28" s="83"/>
      <c r="I28" s="15"/>
      <c r="J28" s="15"/>
      <c r="K28" s="101"/>
      <c r="L28" s="43">
        <v>347792.27999999997</v>
      </c>
      <c r="M28" s="14" t="s">
        <v>33</v>
      </c>
      <c r="N28" s="19" t="s">
        <v>86</v>
      </c>
      <c r="O28" s="14" t="s">
        <v>87</v>
      </c>
      <c r="P28" s="14">
        <v>2</v>
      </c>
      <c r="Q28" s="14"/>
      <c r="R28" s="14"/>
      <c r="S28" s="14">
        <v>1</v>
      </c>
      <c r="T28" s="14"/>
      <c r="U28" s="14"/>
      <c r="V28" s="14"/>
      <c r="W28" s="14"/>
      <c r="X28" s="14"/>
      <c r="Y28" s="14">
        <v>1</v>
      </c>
      <c r="Z28" s="14"/>
      <c r="AA28" s="14"/>
      <c r="AB28" s="18"/>
    </row>
    <row r="29" spans="2:28" ht="12.75" x14ac:dyDescent="0.2">
      <c r="B29" s="86"/>
      <c r="C29" s="89"/>
      <c r="D29" s="102"/>
      <c r="E29" s="79">
        <v>24</v>
      </c>
      <c r="F29" s="79" t="s">
        <v>762</v>
      </c>
      <c r="G29" s="81" t="s">
        <v>48</v>
      </c>
      <c r="H29" s="83" t="s">
        <v>88</v>
      </c>
      <c r="I29" s="15"/>
      <c r="J29" s="15"/>
      <c r="K29" s="100">
        <f>SUM(L29:L32)</f>
        <v>968644.08000000007</v>
      </c>
      <c r="L29" s="43">
        <v>889052.54</v>
      </c>
      <c r="M29" s="14" t="s">
        <v>50</v>
      </c>
      <c r="N29" s="19" t="s">
        <v>25</v>
      </c>
      <c r="O29" s="14" t="s">
        <v>81</v>
      </c>
      <c r="P29" s="14">
        <v>25</v>
      </c>
      <c r="Q29" s="14">
        <v>2</v>
      </c>
      <c r="R29" s="14">
        <v>2</v>
      </c>
      <c r="S29" s="14">
        <v>2</v>
      </c>
      <c r="T29" s="14">
        <v>2</v>
      </c>
      <c r="U29" s="14">
        <v>2</v>
      </c>
      <c r="V29" s="14">
        <v>2</v>
      </c>
      <c r="W29" s="14">
        <v>2</v>
      </c>
      <c r="X29" s="14">
        <v>2</v>
      </c>
      <c r="Y29" s="14">
        <v>2</v>
      </c>
      <c r="Z29" s="14">
        <v>2</v>
      </c>
      <c r="AA29" s="14">
        <v>2</v>
      </c>
      <c r="AB29" s="18">
        <v>3</v>
      </c>
    </row>
    <row r="30" spans="2:28" ht="25.5" x14ac:dyDescent="0.2">
      <c r="B30" s="86"/>
      <c r="C30" s="89"/>
      <c r="D30" s="102"/>
      <c r="E30" s="79"/>
      <c r="F30" s="79"/>
      <c r="G30" s="81"/>
      <c r="H30" s="83"/>
      <c r="I30" s="15"/>
      <c r="J30" s="15"/>
      <c r="K30" s="102"/>
      <c r="L30" s="43">
        <v>17987.52</v>
      </c>
      <c r="M30" s="14" t="s">
        <v>89</v>
      </c>
      <c r="N30" s="19" t="s">
        <v>90</v>
      </c>
      <c r="O30" s="13" t="s">
        <v>91</v>
      </c>
      <c r="P30" s="14">
        <v>12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8">
        <v>1</v>
      </c>
    </row>
    <row r="31" spans="2:28" ht="12.75" x14ac:dyDescent="0.2">
      <c r="B31" s="86"/>
      <c r="C31" s="89"/>
      <c r="D31" s="102"/>
      <c r="E31" s="79"/>
      <c r="F31" s="79"/>
      <c r="G31" s="81"/>
      <c r="H31" s="83"/>
      <c r="I31" s="15"/>
      <c r="J31" s="15"/>
      <c r="K31" s="102"/>
      <c r="L31" s="43">
        <v>16052.04</v>
      </c>
      <c r="M31" s="14" t="s">
        <v>92</v>
      </c>
      <c r="N31" s="19" t="s">
        <v>93</v>
      </c>
      <c r="O31" s="14" t="s">
        <v>94</v>
      </c>
      <c r="P31" s="14">
        <v>1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8">
        <v>1</v>
      </c>
    </row>
    <row r="32" spans="2:28" ht="12.75" x14ac:dyDescent="0.2">
      <c r="B32" s="86"/>
      <c r="C32" s="89"/>
      <c r="D32" s="102"/>
      <c r="E32" s="79"/>
      <c r="F32" s="79"/>
      <c r="G32" s="81"/>
      <c r="H32" s="83"/>
      <c r="I32" s="15"/>
      <c r="J32" s="15"/>
      <c r="K32" s="101"/>
      <c r="L32" s="43">
        <v>45551.979999999996</v>
      </c>
      <c r="M32" s="14" t="s">
        <v>95</v>
      </c>
      <c r="N32" s="19" t="s">
        <v>96</v>
      </c>
      <c r="O32" s="14" t="s">
        <v>97</v>
      </c>
      <c r="P32" s="14">
        <v>2</v>
      </c>
      <c r="Q32" s="14"/>
      <c r="R32" s="14"/>
      <c r="S32" s="14"/>
      <c r="T32" s="14"/>
      <c r="U32" s="14"/>
      <c r="V32" s="14">
        <v>1</v>
      </c>
      <c r="W32" s="14"/>
      <c r="X32" s="14"/>
      <c r="Y32" s="14"/>
      <c r="Z32" s="14"/>
      <c r="AA32" s="14"/>
      <c r="AB32" s="18">
        <v>1</v>
      </c>
    </row>
    <row r="33" spans="2:28" ht="12.75" x14ac:dyDescent="0.2">
      <c r="B33" s="86"/>
      <c r="C33" s="89"/>
      <c r="D33" s="102"/>
      <c r="E33" s="79">
        <v>17</v>
      </c>
      <c r="F33" s="79" t="s">
        <v>763</v>
      </c>
      <c r="G33" s="81" t="s">
        <v>54</v>
      </c>
      <c r="H33" s="83" t="s">
        <v>98</v>
      </c>
      <c r="I33" s="15"/>
      <c r="J33" s="15"/>
      <c r="K33" s="100">
        <f>SUM(L33:L39)</f>
        <v>2654248.7699999996</v>
      </c>
      <c r="L33" s="43">
        <v>2566790.2599999998</v>
      </c>
      <c r="M33" s="14" t="s">
        <v>56</v>
      </c>
      <c r="N33" s="19" t="s">
        <v>25</v>
      </c>
      <c r="O33" s="14" t="s">
        <v>81</v>
      </c>
      <c r="P33" s="14">
        <v>25</v>
      </c>
      <c r="Q33" s="14">
        <v>2</v>
      </c>
      <c r="R33" s="14">
        <v>2</v>
      </c>
      <c r="S33" s="14">
        <v>2</v>
      </c>
      <c r="T33" s="14">
        <v>2</v>
      </c>
      <c r="U33" s="14">
        <v>2</v>
      </c>
      <c r="V33" s="14">
        <v>2</v>
      </c>
      <c r="W33" s="14">
        <v>2</v>
      </c>
      <c r="X33" s="14">
        <v>2</v>
      </c>
      <c r="Y33" s="14">
        <v>2</v>
      </c>
      <c r="Z33" s="14">
        <v>2</v>
      </c>
      <c r="AA33" s="14">
        <v>2</v>
      </c>
      <c r="AB33" s="18">
        <v>3</v>
      </c>
    </row>
    <row r="34" spans="2:28" ht="25.5" x14ac:dyDescent="0.2">
      <c r="B34" s="86"/>
      <c r="C34" s="89"/>
      <c r="D34" s="102"/>
      <c r="E34" s="79"/>
      <c r="F34" s="79"/>
      <c r="G34" s="81"/>
      <c r="H34" s="83"/>
      <c r="I34" s="15"/>
      <c r="J34" s="15"/>
      <c r="K34" s="102"/>
      <c r="L34" s="43">
        <v>14576.4</v>
      </c>
      <c r="M34" s="14" t="s">
        <v>99</v>
      </c>
      <c r="N34" s="19" t="s">
        <v>100</v>
      </c>
      <c r="O34" s="14" t="s">
        <v>101</v>
      </c>
      <c r="P34" s="14">
        <v>55</v>
      </c>
      <c r="Q34" s="14">
        <v>5</v>
      </c>
      <c r="R34" s="14">
        <v>5</v>
      </c>
      <c r="S34" s="14">
        <v>5</v>
      </c>
      <c r="T34" s="14">
        <v>5</v>
      </c>
      <c r="U34" s="14"/>
      <c r="V34" s="14">
        <v>5</v>
      </c>
      <c r="W34" s="14">
        <v>5</v>
      </c>
      <c r="X34" s="14">
        <v>5</v>
      </c>
      <c r="Y34" s="14">
        <v>5</v>
      </c>
      <c r="Z34" s="14">
        <v>5</v>
      </c>
      <c r="AA34" s="14">
        <v>5</v>
      </c>
      <c r="AB34" s="18">
        <v>5</v>
      </c>
    </row>
    <row r="35" spans="2:28" ht="25.5" x14ac:dyDescent="0.2">
      <c r="B35" s="86"/>
      <c r="C35" s="89"/>
      <c r="D35" s="102"/>
      <c r="E35" s="79"/>
      <c r="F35" s="79"/>
      <c r="G35" s="81"/>
      <c r="H35" s="83"/>
      <c r="I35" s="15"/>
      <c r="J35" s="15"/>
      <c r="K35" s="102"/>
      <c r="L35" s="43">
        <v>14576.400000000001</v>
      </c>
      <c r="M35" s="14" t="s">
        <v>102</v>
      </c>
      <c r="N35" s="19" t="s">
        <v>103</v>
      </c>
      <c r="O35" s="14" t="s">
        <v>104</v>
      </c>
      <c r="P35" s="14">
        <v>2</v>
      </c>
      <c r="Q35" s="14"/>
      <c r="R35" s="14"/>
      <c r="S35" s="14"/>
      <c r="T35" s="14">
        <v>1</v>
      </c>
      <c r="U35" s="14"/>
      <c r="V35" s="14"/>
      <c r="W35" s="14"/>
      <c r="X35" s="14"/>
      <c r="Y35" s="14"/>
      <c r="Z35" s="14">
        <v>1</v>
      </c>
      <c r="AA35" s="14"/>
      <c r="AB35" s="18"/>
    </row>
    <row r="36" spans="2:28" ht="25.5" x14ac:dyDescent="0.2">
      <c r="B36" s="86"/>
      <c r="C36" s="89"/>
      <c r="D36" s="102"/>
      <c r="E36" s="79"/>
      <c r="F36" s="79"/>
      <c r="G36" s="81"/>
      <c r="H36" s="83"/>
      <c r="I36" s="15"/>
      <c r="J36" s="15"/>
      <c r="K36" s="102"/>
      <c r="L36" s="43">
        <v>14576.439999999999</v>
      </c>
      <c r="M36" s="14" t="s">
        <v>105</v>
      </c>
      <c r="N36" s="19" t="s">
        <v>106</v>
      </c>
      <c r="O36" s="13" t="s">
        <v>107</v>
      </c>
      <c r="P36" s="14">
        <v>4</v>
      </c>
      <c r="Q36" s="14"/>
      <c r="R36" s="14"/>
      <c r="S36" s="14">
        <v>1</v>
      </c>
      <c r="T36" s="14"/>
      <c r="U36" s="14"/>
      <c r="V36" s="14">
        <v>1</v>
      </c>
      <c r="W36" s="14"/>
      <c r="X36" s="14"/>
      <c r="Y36" s="14">
        <v>1</v>
      </c>
      <c r="Z36" s="14"/>
      <c r="AA36" s="14"/>
      <c r="AB36" s="18">
        <v>1</v>
      </c>
    </row>
    <row r="37" spans="2:28" ht="25.5" x14ac:dyDescent="0.2">
      <c r="B37" s="86"/>
      <c r="C37" s="89"/>
      <c r="D37" s="102"/>
      <c r="E37" s="79"/>
      <c r="F37" s="79"/>
      <c r="G37" s="81"/>
      <c r="H37" s="83"/>
      <c r="I37" s="15"/>
      <c r="J37" s="15"/>
      <c r="K37" s="102"/>
      <c r="L37" s="43">
        <v>14576.43</v>
      </c>
      <c r="M37" s="14" t="s">
        <v>108</v>
      </c>
      <c r="N37" s="19" t="s">
        <v>109</v>
      </c>
      <c r="O37" s="14" t="s">
        <v>110</v>
      </c>
      <c r="P37" s="14">
        <v>3</v>
      </c>
      <c r="Q37" s="14"/>
      <c r="R37" s="14"/>
      <c r="S37" s="14"/>
      <c r="T37" s="14">
        <v>1</v>
      </c>
      <c r="U37" s="14"/>
      <c r="V37" s="14"/>
      <c r="W37" s="14"/>
      <c r="X37" s="14">
        <v>1</v>
      </c>
      <c r="Y37" s="14"/>
      <c r="Z37" s="14"/>
      <c r="AA37" s="14"/>
      <c r="AB37" s="18">
        <v>1</v>
      </c>
    </row>
    <row r="38" spans="2:28" ht="25.5" x14ac:dyDescent="0.2">
      <c r="B38" s="107"/>
      <c r="C38" s="108"/>
      <c r="D38" s="102"/>
      <c r="E38" s="94"/>
      <c r="F38" s="94"/>
      <c r="G38" s="95"/>
      <c r="H38" s="96"/>
      <c r="I38" s="27"/>
      <c r="J38" s="27"/>
      <c r="K38" s="102"/>
      <c r="L38" s="45">
        <v>14576.400000000001</v>
      </c>
      <c r="M38" s="14" t="s">
        <v>111</v>
      </c>
      <c r="N38" s="19" t="s">
        <v>112</v>
      </c>
      <c r="O38" s="13" t="s">
        <v>113</v>
      </c>
      <c r="P38" s="14">
        <v>2</v>
      </c>
      <c r="Q38" s="28"/>
      <c r="R38" s="28"/>
      <c r="S38" s="28"/>
      <c r="T38" s="28"/>
      <c r="U38" s="28"/>
      <c r="V38" s="28">
        <v>1</v>
      </c>
      <c r="W38" s="28"/>
      <c r="X38" s="28"/>
      <c r="Y38" s="28"/>
      <c r="Z38" s="28"/>
      <c r="AA38" s="28"/>
      <c r="AB38" s="66">
        <v>1</v>
      </c>
    </row>
    <row r="39" spans="2:28" ht="51.75" thickBot="1" x14ac:dyDescent="0.25">
      <c r="B39" s="87"/>
      <c r="C39" s="90"/>
      <c r="D39" s="103"/>
      <c r="E39" s="80"/>
      <c r="F39" s="80"/>
      <c r="G39" s="82"/>
      <c r="H39" s="84"/>
      <c r="I39" s="24"/>
      <c r="J39" s="24"/>
      <c r="K39" s="103"/>
      <c r="L39" s="44">
        <v>14576.439999999999</v>
      </c>
      <c r="M39" s="23" t="s">
        <v>820</v>
      </c>
      <c r="N39" s="25" t="s">
        <v>821</v>
      </c>
      <c r="O39" s="22" t="s">
        <v>822</v>
      </c>
      <c r="P39" s="23">
        <f>+Q39+R39+S39+T39+U39+V39+W39+X39+Y39+Z39+AA39+AB39</f>
        <v>4</v>
      </c>
      <c r="Q39" s="29"/>
      <c r="R39" s="29"/>
      <c r="S39" s="29">
        <v>1</v>
      </c>
      <c r="T39" s="29"/>
      <c r="U39" s="29"/>
      <c r="V39" s="29">
        <v>1</v>
      </c>
      <c r="W39" s="29"/>
      <c r="X39" s="29"/>
      <c r="Y39" s="29">
        <v>1</v>
      </c>
      <c r="Z39" s="29"/>
      <c r="AA39" s="29"/>
      <c r="AB39" s="67">
        <v>1</v>
      </c>
    </row>
    <row r="40" spans="2:28" ht="13.5" thickBot="1" x14ac:dyDescent="0.25">
      <c r="B40" s="30"/>
      <c r="C40" s="40"/>
      <c r="D40" s="40"/>
      <c r="E40" s="40"/>
      <c r="F40" s="40"/>
      <c r="G40" s="61"/>
      <c r="H40" s="40"/>
      <c r="I40" s="40"/>
      <c r="J40" s="40"/>
      <c r="K40" s="62">
        <f>SUM(K25:K39)</f>
        <v>5964243.8599999994</v>
      </c>
      <c r="L40" s="33"/>
      <c r="M40" s="30"/>
      <c r="N40" s="6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 spans="2:28" ht="21" customHeight="1" x14ac:dyDescent="0.2">
      <c r="B41" s="85" t="s">
        <v>114</v>
      </c>
      <c r="C41" s="88" t="s">
        <v>115</v>
      </c>
      <c r="D41" s="112">
        <f>SUM(K41:K51)</f>
        <v>1234981.0100000002</v>
      </c>
      <c r="E41" s="91">
        <v>43</v>
      </c>
      <c r="F41" s="91" t="s">
        <v>764</v>
      </c>
      <c r="G41" s="92" t="s">
        <v>23</v>
      </c>
      <c r="H41" s="93" t="s">
        <v>116</v>
      </c>
      <c r="I41" s="9"/>
      <c r="J41" s="9"/>
      <c r="K41" s="111">
        <f>SUM(L41:L47)</f>
        <v>802527.21000000008</v>
      </c>
      <c r="L41" s="42">
        <v>682035.20000000007</v>
      </c>
      <c r="M41" s="8" t="s">
        <v>117</v>
      </c>
      <c r="N41" s="10" t="s">
        <v>25</v>
      </c>
      <c r="O41" s="8" t="s">
        <v>118</v>
      </c>
      <c r="P41" s="8">
        <v>25</v>
      </c>
      <c r="Q41" s="8">
        <v>2</v>
      </c>
      <c r="R41" s="8">
        <v>2</v>
      </c>
      <c r="S41" s="8">
        <v>2</v>
      </c>
      <c r="T41" s="8">
        <v>2</v>
      </c>
      <c r="U41" s="8">
        <v>2</v>
      </c>
      <c r="V41" s="8">
        <v>2</v>
      </c>
      <c r="W41" s="8">
        <v>2</v>
      </c>
      <c r="X41" s="8">
        <v>2</v>
      </c>
      <c r="Y41" s="8">
        <v>2</v>
      </c>
      <c r="Z41" s="8">
        <v>2</v>
      </c>
      <c r="AA41" s="8">
        <v>2</v>
      </c>
      <c r="AB41" s="11">
        <v>3</v>
      </c>
    </row>
    <row r="42" spans="2:28" ht="25.5" x14ac:dyDescent="0.2">
      <c r="B42" s="86"/>
      <c r="C42" s="89"/>
      <c r="D42" s="79"/>
      <c r="E42" s="79"/>
      <c r="F42" s="79"/>
      <c r="G42" s="81"/>
      <c r="H42" s="83"/>
      <c r="I42" s="15"/>
      <c r="J42" s="15"/>
      <c r="K42" s="102"/>
      <c r="L42" s="43">
        <v>20082.04</v>
      </c>
      <c r="M42" s="14" t="s">
        <v>27</v>
      </c>
      <c r="N42" s="19" t="s">
        <v>119</v>
      </c>
      <c r="O42" s="13" t="s">
        <v>120</v>
      </c>
      <c r="P42" s="14">
        <v>4</v>
      </c>
      <c r="Q42" s="14"/>
      <c r="R42" s="14"/>
      <c r="S42" s="14">
        <v>1</v>
      </c>
      <c r="T42" s="14"/>
      <c r="U42" s="14"/>
      <c r="V42" s="14">
        <v>1</v>
      </c>
      <c r="W42" s="14"/>
      <c r="X42" s="14"/>
      <c r="Y42" s="14">
        <v>1</v>
      </c>
      <c r="Z42" s="14"/>
      <c r="AA42" s="14"/>
      <c r="AB42" s="18">
        <v>1</v>
      </c>
    </row>
    <row r="43" spans="2:28" ht="25.5" x14ac:dyDescent="0.2">
      <c r="B43" s="86"/>
      <c r="C43" s="89"/>
      <c r="D43" s="79"/>
      <c r="E43" s="79"/>
      <c r="F43" s="79"/>
      <c r="G43" s="81"/>
      <c r="H43" s="83"/>
      <c r="I43" s="15"/>
      <c r="J43" s="15"/>
      <c r="K43" s="102"/>
      <c r="L43" s="43">
        <v>20082.02</v>
      </c>
      <c r="M43" s="14" t="s">
        <v>30</v>
      </c>
      <c r="N43" s="19" t="s">
        <v>121</v>
      </c>
      <c r="O43" s="13" t="s">
        <v>122</v>
      </c>
      <c r="P43" s="14">
        <v>2</v>
      </c>
      <c r="Q43" s="14"/>
      <c r="R43" s="14"/>
      <c r="S43" s="14"/>
      <c r="T43" s="14"/>
      <c r="U43" s="14"/>
      <c r="V43" s="14">
        <v>1</v>
      </c>
      <c r="W43" s="14"/>
      <c r="X43" s="14"/>
      <c r="Y43" s="14"/>
      <c r="Z43" s="14"/>
      <c r="AA43" s="14"/>
      <c r="AB43" s="18">
        <v>1</v>
      </c>
    </row>
    <row r="44" spans="2:28" ht="25.5" x14ac:dyDescent="0.2">
      <c r="B44" s="86"/>
      <c r="C44" s="89"/>
      <c r="D44" s="79"/>
      <c r="E44" s="79"/>
      <c r="F44" s="79"/>
      <c r="G44" s="81"/>
      <c r="H44" s="83"/>
      <c r="I44" s="15"/>
      <c r="J44" s="15"/>
      <c r="K44" s="102"/>
      <c r="L44" s="43">
        <v>20082.03</v>
      </c>
      <c r="M44" s="14" t="s">
        <v>33</v>
      </c>
      <c r="N44" s="19" t="s">
        <v>123</v>
      </c>
      <c r="O44" s="14" t="s">
        <v>124</v>
      </c>
      <c r="P44" s="14">
        <v>1</v>
      </c>
      <c r="Q44" s="14"/>
      <c r="R44" s="14"/>
      <c r="S44" s="14"/>
      <c r="T44" s="14"/>
      <c r="U44" s="14"/>
      <c r="V44" s="14"/>
      <c r="W44" s="14"/>
      <c r="X44" s="14"/>
      <c r="Y44" s="14"/>
      <c r="Z44" s="14">
        <v>1</v>
      </c>
      <c r="AA44" s="14"/>
      <c r="AB44" s="18"/>
    </row>
    <row r="45" spans="2:28" ht="25.5" x14ac:dyDescent="0.2">
      <c r="B45" s="86"/>
      <c r="C45" s="89"/>
      <c r="D45" s="79"/>
      <c r="E45" s="79"/>
      <c r="F45" s="79"/>
      <c r="G45" s="81"/>
      <c r="H45" s="83"/>
      <c r="I45" s="15"/>
      <c r="J45" s="15"/>
      <c r="K45" s="102"/>
      <c r="L45" s="43">
        <v>20081.939999999999</v>
      </c>
      <c r="M45" s="14" t="s">
        <v>36</v>
      </c>
      <c r="N45" s="19" t="s">
        <v>125</v>
      </c>
      <c r="O45" s="14" t="s">
        <v>126</v>
      </c>
      <c r="P45" s="14">
        <v>6</v>
      </c>
      <c r="Q45" s="14">
        <v>1</v>
      </c>
      <c r="R45" s="14"/>
      <c r="S45" s="14">
        <v>1</v>
      </c>
      <c r="T45" s="14"/>
      <c r="U45" s="14">
        <v>1</v>
      </c>
      <c r="V45" s="14"/>
      <c r="W45" s="14">
        <v>1</v>
      </c>
      <c r="X45" s="14"/>
      <c r="Y45" s="14">
        <v>1</v>
      </c>
      <c r="Z45" s="14"/>
      <c r="AA45" s="14">
        <v>1</v>
      </c>
      <c r="AB45" s="18"/>
    </row>
    <row r="46" spans="2:28" ht="25.5" x14ac:dyDescent="0.2">
      <c r="B46" s="86"/>
      <c r="C46" s="89"/>
      <c r="D46" s="79"/>
      <c r="E46" s="79"/>
      <c r="F46" s="79"/>
      <c r="G46" s="81"/>
      <c r="H46" s="83"/>
      <c r="I46" s="15"/>
      <c r="J46" s="15"/>
      <c r="K46" s="102"/>
      <c r="L46" s="43">
        <v>20082.04</v>
      </c>
      <c r="M46" s="14" t="s">
        <v>39</v>
      </c>
      <c r="N46" s="19" t="s">
        <v>127</v>
      </c>
      <c r="O46" s="14" t="s">
        <v>128</v>
      </c>
      <c r="P46" s="14">
        <v>4</v>
      </c>
      <c r="Q46" s="14"/>
      <c r="R46" s="14">
        <v>1</v>
      </c>
      <c r="S46" s="14"/>
      <c r="T46" s="14"/>
      <c r="U46" s="14">
        <v>1</v>
      </c>
      <c r="V46" s="14"/>
      <c r="W46" s="14"/>
      <c r="X46" s="14">
        <v>1</v>
      </c>
      <c r="Y46" s="14"/>
      <c r="Z46" s="14"/>
      <c r="AA46" s="14">
        <v>1</v>
      </c>
      <c r="AB46" s="18"/>
    </row>
    <row r="47" spans="2:28" ht="25.5" x14ac:dyDescent="0.2">
      <c r="B47" s="86"/>
      <c r="C47" s="89"/>
      <c r="D47" s="79"/>
      <c r="E47" s="79"/>
      <c r="F47" s="79"/>
      <c r="G47" s="81"/>
      <c r="H47" s="83"/>
      <c r="I47" s="15"/>
      <c r="J47" s="15"/>
      <c r="K47" s="101"/>
      <c r="L47" s="43">
        <v>20081.939999999999</v>
      </c>
      <c r="M47" s="14" t="s">
        <v>42</v>
      </c>
      <c r="N47" s="19" t="s">
        <v>129</v>
      </c>
      <c r="O47" s="14" t="s">
        <v>130</v>
      </c>
      <c r="P47" s="14">
        <v>6</v>
      </c>
      <c r="Q47" s="14"/>
      <c r="R47" s="14">
        <v>1</v>
      </c>
      <c r="S47" s="14"/>
      <c r="T47" s="14">
        <v>1</v>
      </c>
      <c r="U47" s="14"/>
      <c r="V47" s="14">
        <v>1</v>
      </c>
      <c r="W47" s="14"/>
      <c r="X47" s="14">
        <v>1</v>
      </c>
      <c r="Y47" s="14"/>
      <c r="Z47" s="14">
        <v>1</v>
      </c>
      <c r="AA47" s="14"/>
      <c r="AB47" s="18">
        <v>1</v>
      </c>
    </row>
    <row r="48" spans="2:28" ht="25.15" customHeight="1" x14ac:dyDescent="0.2">
      <c r="B48" s="86"/>
      <c r="C48" s="89"/>
      <c r="D48" s="79"/>
      <c r="E48" s="79">
        <v>55</v>
      </c>
      <c r="F48" s="79" t="s">
        <v>765</v>
      </c>
      <c r="G48" s="81" t="s">
        <v>48</v>
      </c>
      <c r="H48" s="83" t="s">
        <v>131</v>
      </c>
      <c r="I48" s="15"/>
      <c r="J48" s="15"/>
      <c r="K48" s="100">
        <f>SUM(L48:L51)</f>
        <v>432453.80000000005</v>
      </c>
      <c r="L48" s="43">
        <v>409871.28</v>
      </c>
      <c r="M48" s="14" t="s">
        <v>117</v>
      </c>
      <c r="N48" s="19" t="s">
        <v>25</v>
      </c>
      <c r="O48" s="14" t="s">
        <v>118</v>
      </c>
      <c r="P48" s="14">
        <v>25</v>
      </c>
      <c r="Q48" s="14">
        <v>2</v>
      </c>
      <c r="R48" s="14">
        <v>2</v>
      </c>
      <c r="S48" s="14">
        <v>2</v>
      </c>
      <c r="T48" s="14">
        <v>2</v>
      </c>
      <c r="U48" s="14">
        <v>2</v>
      </c>
      <c r="V48" s="14">
        <v>2</v>
      </c>
      <c r="W48" s="14">
        <v>2</v>
      </c>
      <c r="X48" s="14">
        <v>2</v>
      </c>
      <c r="Y48" s="14">
        <v>2</v>
      </c>
      <c r="Z48" s="14">
        <v>2</v>
      </c>
      <c r="AA48" s="14">
        <v>2</v>
      </c>
      <c r="AB48" s="18">
        <v>3</v>
      </c>
    </row>
    <row r="49" spans="2:28" ht="25.5" x14ac:dyDescent="0.2">
      <c r="B49" s="86"/>
      <c r="C49" s="89"/>
      <c r="D49" s="79"/>
      <c r="E49" s="79"/>
      <c r="F49" s="79"/>
      <c r="G49" s="81"/>
      <c r="H49" s="83"/>
      <c r="I49" s="15"/>
      <c r="J49" s="15"/>
      <c r="K49" s="102"/>
      <c r="L49" s="43">
        <v>7527.4800000000005</v>
      </c>
      <c r="M49" s="14" t="s">
        <v>27</v>
      </c>
      <c r="N49" s="19" t="s">
        <v>132</v>
      </c>
      <c r="O49" s="13" t="s">
        <v>133</v>
      </c>
      <c r="P49" s="14">
        <v>6</v>
      </c>
      <c r="Q49" s="14"/>
      <c r="R49" s="14"/>
      <c r="S49" s="14">
        <v>1</v>
      </c>
      <c r="T49" s="14"/>
      <c r="U49" s="14">
        <v>1</v>
      </c>
      <c r="V49" s="14"/>
      <c r="W49" s="14"/>
      <c r="X49" s="14">
        <v>1</v>
      </c>
      <c r="Y49" s="14">
        <v>1</v>
      </c>
      <c r="Z49" s="14"/>
      <c r="AA49" s="14">
        <v>1</v>
      </c>
      <c r="AB49" s="18">
        <v>1</v>
      </c>
    </row>
    <row r="50" spans="2:28" ht="25.5" x14ac:dyDescent="0.2">
      <c r="B50" s="86"/>
      <c r="C50" s="89"/>
      <c r="D50" s="79"/>
      <c r="E50" s="79"/>
      <c r="F50" s="79"/>
      <c r="G50" s="81"/>
      <c r="H50" s="83"/>
      <c r="I50" s="15"/>
      <c r="J50" s="15"/>
      <c r="K50" s="102"/>
      <c r="L50" s="43">
        <v>7527.52</v>
      </c>
      <c r="M50" s="14" t="s">
        <v>30</v>
      </c>
      <c r="N50" s="19" t="s">
        <v>134</v>
      </c>
      <c r="O50" s="13" t="s">
        <v>135</v>
      </c>
      <c r="P50" s="14">
        <v>4</v>
      </c>
      <c r="Q50" s="14"/>
      <c r="R50" s="14"/>
      <c r="S50" s="14">
        <v>1</v>
      </c>
      <c r="T50" s="14"/>
      <c r="U50" s="14"/>
      <c r="V50" s="14">
        <v>1</v>
      </c>
      <c r="W50" s="14"/>
      <c r="X50" s="14"/>
      <c r="Y50" s="14">
        <v>1</v>
      </c>
      <c r="Z50" s="14"/>
      <c r="AA50" s="14"/>
      <c r="AB50" s="18">
        <v>1</v>
      </c>
    </row>
    <row r="51" spans="2:28" ht="39" thickBot="1" x14ac:dyDescent="0.25">
      <c r="B51" s="87"/>
      <c r="C51" s="90"/>
      <c r="D51" s="80"/>
      <c r="E51" s="80"/>
      <c r="F51" s="80"/>
      <c r="G51" s="82"/>
      <c r="H51" s="84"/>
      <c r="I51" s="24"/>
      <c r="J51" s="24"/>
      <c r="K51" s="103"/>
      <c r="L51" s="44">
        <v>7527.52</v>
      </c>
      <c r="M51" s="23" t="s">
        <v>33</v>
      </c>
      <c r="N51" s="25" t="s">
        <v>136</v>
      </c>
      <c r="O51" s="23" t="s">
        <v>137</v>
      </c>
      <c r="P51" s="23">
        <v>4</v>
      </c>
      <c r="Q51" s="23"/>
      <c r="R51" s="23"/>
      <c r="S51" s="23">
        <v>1</v>
      </c>
      <c r="T51" s="23"/>
      <c r="U51" s="23"/>
      <c r="V51" s="23">
        <v>1</v>
      </c>
      <c r="W51" s="23"/>
      <c r="X51" s="23"/>
      <c r="Y51" s="23">
        <v>1</v>
      </c>
      <c r="Z51" s="23"/>
      <c r="AA51" s="23"/>
      <c r="AB51" s="26">
        <v>1</v>
      </c>
    </row>
    <row r="52" spans="2:28" ht="13.5" thickBot="1" x14ac:dyDescent="0.25">
      <c r="B52" s="30"/>
      <c r="C52" s="40"/>
      <c r="D52" s="40"/>
      <c r="E52" s="40"/>
      <c r="F52" s="40"/>
      <c r="G52" s="61"/>
      <c r="H52" s="40"/>
      <c r="I52" s="40"/>
      <c r="J52" s="40"/>
      <c r="K52" s="62">
        <f>SUM(K41:K51)</f>
        <v>1234981.0100000002</v>
      </c>
      <c r="L52" s="33"/>
      <c r="M52" s="30"/>
      <c r="N52" s="6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 spans="2:28" ht="12.75" x14ac:dyDescent="0.2">
      <c r="B53" s="85" t="s">
        <v>138</v>
      </c>
      <c r="C53" s="88" t="s">
        <v>139</v>
      </c>
      <c r="D53" s="112">
        <f>SUM(K53:K69)</f>
        <v>7587048.0399999991</v>
      </c>
      <c r="E53" s="91">
        <v>7</v>
      </c>
      <c r="F53" s="91" t="s">
        <v>766</v>
      </c>
      <c r="G53" s="92" t="s">
        <v>23</v>
      </c>
      <c r="H53" s="93" t="s">
        <v>140</v>
      </c>
      <c r="I53" s="9"/>
      <c r="J53" s="9"/>
      <c r="K53" s="111">
        <f>SUM(L53:L58)</f>
        <v>5167102.7799999993</v>
      </c>
      <c r="L53" s="42">
        <v>2782317.78</v>
      </c>
      <c r="M53" s="8" t="s">
        <v>117</v>
      </c>
      <c r="N53" s="10" t="s">
        <v>141</v>
      </c>
      <c r="O53" s="8" t="s">
        <v>142</v>
      </c>
      <c r="P53" s="8">
        <v>25</v>
      </c>
      <c r="Q53" s="8">
        <v>2</v>
      </c>
      <c r="R53" s="8">
        <v>2</v>
      </c>
      <c r="S53" s="8">
        <v>2</v>
      </c>
      <c r="T53" s="8">
        <v>2</v>
      </c>
      <c r="U53" s="8">
        <v>2</v>
      </c>
      <c r="V53" s="8">
        <v>2</v>
      </c>
      <c r="W53" s="8">
        <v>2</v>
      </c>
      <c r="X53" s="8">
        <v>2</v>
      </c>
      <c r="Y53" s="8">
        <v>2</v>
      </c>
      <c r="Z53" s="8">
        <v>2</v>
      </c>
      <c r="AA53" s="8">
        <v>2</v>
      </c>
      <c r="AB53" s="11">
        <v>3</v>
      </c>
    </row>
    <row r="54" spans="2:28" ht="25.5" x14ac:dyDescent="0.2">
      <c r="B54" s="86"/>
      <c r="C54" s="89"/>
      <c r="D54" s="79"/>
      <c r="E54" s="79"/>
      <c r="F54" s="79"/>
      <c r="G54" s="81"/>
      <c r="H54" s="83"/>
      <c r="I54" s="15"/>
      <c r="J54" s="15"/>
      <c r="K54" s="102"/>
      <c r="L54" s="43">
        <v>17757</v>
      </c>
      <c r="M54" s="14" t="s">
        <v>143</v>
      </c>
      <c r="N54" s="19" t="s">
        <v>144</v>
      </c>
      <c r="O54" s="13" t="s">
        <v>145</v>
      </c>
      <c r="P54" s="14">
        <v>1</v>
      </c>
      <c r="Q54" s="14"/>
      <c r="R54" s="14">
        <v>1</v>
      </c>
      <c r="S54" s="14"/>
      <c r="T54" s="14"/>
      <c r="U54" s="14"/>
      <c r="V54" s="14"/>
      <c r="W54" s="14"/>
      <c r="X54" s="14"/>
      <c r="Y54" s="14"/>
      <c r="Z54" s="14"/>
      <c r="AA54" s="14"/>
      <c r="AB54" s="18"/>
    </row>
    <row r="55" spans="2:28" ht="38.25" x14ac:dyDescent="0.2">
      <c r="B55" s="86"/>
      <c r="C55" s="89"/>
      <c r="D55" s="79"/>
      <c r="E55" s="79"/>
      <c r="F55" s="79"/>
      <c r="G55" s="81"/>
      <c r="H55" s="83"/>
      <c r="I55" s="15"/>
      <c r="J55" s="15"/>
      <c r="K55" s="102"/>
      <c r="L55" s="43">
        <v>713757</v>
      </c>
      <c r="M55" s="14" t="s">
        <v>146</v>
      </c>
      <c r="N55" s="19" t="s">
        <v>147</v>
      </c>
      <c r="O55" s="14" t="s">
        <v>148</v>
      </c>
      <c r="P55" s="14">
        <v>20</v>
      </c>
      <c r="Q55" s="14"/>
      <c r="R55" s="14"/>
      <c r="S55" s="14">
        <v>5</v>
      </c>
      <c r="T55" s="14"/>
      <c r="U55" s="14"/>
      <c r="V55" s="14">
        <v>5</v>
      </c>
      <c r="W55" s="14"/>
      <c r="X55" s="14"/>
      <c r="Y55" s="14">
        <v>5</v>
      </c>
      <c r="Z55" s="14"/>
      <c r="AA55" s="14"/>
      <c r="AB55" s="18">
        <v>5</v>
      </c>
    </row>
    <row r="56" spans="2:28" ht="25.5" x14ac:dyDescent="0.2">
      <c r="B56" s="86"/>
      <c r="C56" s="89"/>
      <c r="D56" s="79"/>
      <c r="E56" s="79"/>
      <c r="F56" s="79"/>
      <c r="G56" s="81"/>
      <c r="H56" s="83"/>
      <c r="I56" s="15"/>
      <c r="J56" s="15"/>
      <c r="K56" s="102"/>
      <c r="L56" s="43">
        <v>17757</v>
      </c>
      <c r="M56" s="14" t="s">
        <v>149</v>
      </c>
      <c r="N56" s="19" t="s">
        <v>150</v>
      </c>
      <c r="O56" s="14" t="s">
        <v>151</v>
      </c>
      <c r="P56" s="14">
        <v>41</v>
      </c>
      <c r="Q56" s="14">
        <v>3</v>
      </c>
      <c r="R56" s="14">
        <v>3</v>
      </c>
      <c r="S56" s="14">
        <v>4</v>
      </c>
      <c r="T56" s="14">
        <v>3</v>
      </c>
      <c r="U56" s="14">
        <v>3</v>
      </c>
      <c r="V56" s="14">
        <v>4</v>
      </c>
      <c r="W56" s="14">
        <v>3</v>
      </c>
      <c r="X56" s="14">
        <v>3</v>
      </c>
      <c r="Y56" s="14">
        <v>3</v>
      </c>
      <c r="Z56" s="14">
        <v>3</v>
      </c>
      <c r="AA56" s="14">
        <v>3</v>
      </c>
      <c r="AB56" s="18">
        <v>6</v>
      </c>
    </row>
    <row r="57" spans="2:28" ht="25.5" x14ac:dyDescent="0.2">
      <c r="B57" s="86"/>
      <c r="C57" s="89"/>
      <c r="D57" s="79"/>
      <c r="E57" s="79"/>
      <c r="F57" s="79"/>
      <c r="G57" s="81"/>
      <c r="H57" s="83"/>
      <c r="I57" s="15"/>
      <c r="J57" s="15"/>
      <c r="K57" s="102"/>
      <c r="L57" s="43">
        <v>1517757</v>
      </c>
      <c r="M57" s="14" t="s">
        <v>152</v>
      </c>
      <c r="N57" s="19" t="s">
        <v>153</v>
      </c>
      <c r="O57" s="13" t="s">
        <v>154</v>
      </c>
      <c r="P57" s="14">
        <v>5</v>
      </c>
      <c r="Q57" s="14"/>
      <c r="R57" s="14"/>
      <c r="S57" s="14">
        <v>1</v>
      </c>
      <c r="T57" s="14"/>
      <c r="U57" s="14">
        <v>1</v>
      </c>
      <c r="V57" s="14"/>
      <c r="W57" s="14">
        <v>1</v>
      </c>
      <c r="X57" s="14"/>
      <c r="Y57" s="14">
        <v>1</v>
      </c>
      <c r="Z57" s="14"/>
      <c r="AA57" s="14">
        <v>1</v>
      </c>
      <c r="AB57" s="18"/>
    </row>
    <row r="58" spans="2:28" ht="25.5" x14ac:dyDescent="0.2">
      <c r="B58" s="86"/>
      <c r="C58" s="89"/>
      <c r="D58" s="79"/>
      <c r="E58" s="79"/>
      <c r="F58" s="79"/>
      <c r="G58" s="81"/>
      <c r="H58" s="83"/>
      <c r="I58" s="15"/>
      <c r="J58" s="15"/>
      <c r="K58" s="101"/>
      <c r="L58" s="43">
        <v>117757</v>
      </c>
      <c r="M58" s="14" t="s">
        <v>155</v>
      </c>
      <c r="N58" s="19" t="s">
        <v>156</v>
      </c>
      <c r="O58" s="14" t="s">
        <v>157</v>
      </c>
      <c r="P58" s="14">
        <v>4</v>
      </c>
      <c r="Q58" s="14"/>
      <c r="R58" s="14"/>
      <c r="S58" s="14">
        <v>1</v>
      </c>
      <c r="T58" s="14"/>
      <c r="U58" s="14"/>
      <c r="V58" s="14">
        <v>1</v>
      </c>
      <c r="W58" s="14"/>
      <c r="X58" s="14"/>
      <c r="Y58" s="14">
        <v>1</v>
      </c>
      <c r="Z58" s="14"/>
      <c r="AA58" s="14">
        <v>1</v>
      </c>
      <c r="AB58" s="18"/>
    </row>
    <row r="59" spans="2:28" ht="12.75" x14ac:dyDescent="0.2">
      <c r="B59" s="86"/>
      <c r="C59" s="89"/>
      <c r="D59" s="79"/>
      <c r="E59" s="79">
        <v>39</v>
      </c>
      <c r="F59" s="79" t="s">
        <v>767</v>
      </c>
      <c r="G59" s="81" t="s">
        <v>48</v>
      </c>
      <c r="H59" s="83" t="s">
        <v>158</v>
      </c>
      <c r="I59" s="15"/>
      <c r="J59" s="15"/>
      <c r="K59" s="100">
        <f>SUM(L59:L64)</f>
        <v>2419945.2599999998</v>
      </c>
      <c r="L59" s="43">
        <v>870640.65</v>
      </c>
      <c r="M59" s="14" t="s">
        <v>159</v>
      </c>
      <c r="N59" s="19" t="s">
        <v>141</v>
      </c>
      <c r="O59" s="14" t="s">
        <v>142</v>
      </c>
      <c r="P59" s="14">
        <v>25</v>
      </c>
      <c r="Q59" s="14">
        <v>2</v>
      </c>
      <c r="R59" s="14">
        <v>2</v>
      </c>
      <c r="S59" s="14">
        <v>2</v>
      </c>
      <c r="T59" s="14">
        <v>2</v>
      </c>
      <c r="U59" s="14">
        <v>2</v>
      </c>
      <c r="V59" s="14">
        <v>2</v>
      </c>
      <c r="W59" s="14">
        <v>2</v>
      </c>
      <c r="X59" s="14">
        <v>2</v>
      </c>
      <c r="Y59" s="14">
        <v>2</v>
      </c>
      <c r="Z59" s="14">
        <v>2</v>
      </c>
      <c r="AA59" s="14">
        <v>2</v>
      </c>
      <c r="AB59" s="18">
        <v>3</v>
      </c>
    </row>
    <row r="60" spans="2:28" ht="25.5" x14ac:dyDescent="0.2">
      <c r="B60" s="86"/>
      <c r="C60" s="89"/>
      <c r="D60" s="79"/>
      <c r="E60" s="79"/>
      <c r="F60" s="79"/>
      <c r="G60" s="81"/>
      <c r="H60" s="83"/>
      <c r="I60" s="15"/>
      <c r="J60" s="15"/>
      <c r="K60" s="102"/>
      <c r="L60" s="43">
        <v>9768.19</v>
      </c>
      <c r="M60" s="14" t="s">
        <v>160</v>
      </c>
      <c r="N60" s="19" t="s">
        <v>161</v>
      </c>
      <c r="O60" s="13" t="s">
        <v>162</v>
      </c>
      <c r="P60" s="14">
        <v>1</v>
      </c>
      <c r="Q60" s="14"/>
      <c r="R60" s="14"/>
      <c r="S60" s="14">
        <v>1</v>
      </c>
      <c r="T60" s="14"/>
      <c r="U60" s="14"/>
      <c r="V60" s="14"/>
      <c r="W60" s="14"/>
      <c r="X60" s="14"/>
      <c r="Y60" s="14"/>
      <c r="Z60" s="14"/>
      <c r="AA60" s="14"/>
      <c r="AB60" s="18"/>
    </row>
    <row r="61" spans="2:28" ht="38.25" x14ac:dyDescent="0.2">
      <c r="B61" s="86"/>
      <c r="C61" s="89"/>
      <c r="D61" s="79"/>
      <c r="E61" s="79"/>
      <c r="F61" s="79"/>
      <c r="G61" s="81"/>
      <c r="H61" s="83"/>
      <c r="I61" s="15"/>
      <c r="J61" s="15"/>
      <c r="K61" s="102"/>
      <c r="L61" s="43">
        <v>9768.19</v>
      </c>
      <c r="M61" s="14" t="s">
        <v>163</v>
      </c>
      <c r="N61" s="19" t="s">
        <v>164</v>
      </c>
      <c r="O61" s="14" t="s">
        <v>165</v>
      </c>
      <c r="P61" s="14">
        <v>1</v>
      </c>
      <c r="Q61" s="14"/>
      <c r="R61" s="14"/>
      <c r="S61" s="14">
        <v>1</v>
      </c>
      <c r="T61" s="14"/>
      <c r="U61" s="14"/>
      <c r="V61" s="14"/>
      <c r="W61" s="14"/>
      <c r="X61" s="14"/>
      <c r="Y61" s="14"/>
      <c r="Z61" s="14"/>
      <c r="AA61" s="14"/>
      <c r="AB61" s="18"/>
    </row>
    <row r="62" spans="2:28" ht="38.25" x14ac:dyDescent="0.2">
      <c r="B62" s="86"/>
      <c r="C62" s="89"/>
      <c r="D62" s="79"/>
      <c r="E62" s="79"/>
      <c r="F62" s="79"/>
      <c r="G62" s="81"/>
      <c r="H62" s="83"/>
      <c r="I62" s="15"/>
      <c r="J62" s="15"/>
      <c r="K62" s="102"/>
      <c r="L62" s="43">
        <v>9768.19</v>
      </c>
      <c r="M62" s="14" t="s">
        <v>166</v>
      </c>
      <c r="N62" s="19" t="s">
        <v>167</v>
      </c>
      <c r="O62" s="14" t="s">
        <v>168</v>
      </c>
      <c r="P62" s="14">
        <v>1</v>
      </c>
      <c r="Q62" s="14"/>
      <c r="R62" s="14"/>
      <c r="S62" s="14">
        <v>1</v>
      </c>
      <c r="T62" s="14"/>
      <c r="U62" s="14"/>
      <c r="V62" s="14"/>
      <c r="W62" s="14"/>
      <c r="X62" s="14"/>
      <c r="Y62" s="14"/>
      <c r="Z62" s="14"/>
      <c r="AA62" s="14"/>
      <c r="AB62" s="18"/>
    </row>
    <row r="63" spans="2:28" ht="12.75" x14ac:dyDescent="0.2">
      <c r="B63" s="86"/>
      <c r="C63" s="89"/>
      <c r="D63" s="79"/>
      <c r="E63" s="79"/>
      <c r="F63" s="79"/>
      <c r="G63" s="81"/>
      <c r="H63" s="83"/>
      <c r="I63" s="15"/>
      <c r="J63" s="15"/>
      <c r="K63" s="102"/>
      <c r="L63" s="43">
        <v>1500000.04</v>
      </c>
      <c r="M63" s="14" t="s">
        <v>169</v>
      </c>
      <c r="N63" s="19" t="s">
        <v>170</v>
      </c>
      <c r="O63" s="14" t="s">
        <v>171</v>
      </c>
      <c r="P63" s="14">
        <v>1</v>
      </c>
      <c r="Q63" s="14"/>
      <c r="R63" s="14"/>
      <c r="S63" s="14">
        <v>1</v>
      </c>
      <c r="T63" s="14"/>
      <c r="U63" s="14"/>
      <c r="V63" s="14"/>
      <c r="W63" s="14"/>
      <c r="X63" s="14"/>
      <c r="Y63" s="14"/>
      <c r="Z63" s="14"/>
      <c r="AA63" s="14"/>
      <c r="AB63" s="18"/>
    </row>
    <row r="64" spans="2:28" ht="38.25" x14ac:dyDescent="0.2">
      <c r="B64" s="86"/>
      <c r="C64" s="89"/>
      <c r="D64" s="79"/>
      <c r="E64" s="79"/>
      <c r="F64" s="79"/>
      <c r="G64" s="81"/>
      <c r="H64" s="83"/>
      <c r="I64" s="15"/>
      <c r="J64" s="15"/>
      <c r="K64" s="101"/>
      <c r="L64" s="43">
        <v>20000</v>
      </c>
      <c r="M64" s="14" t="s">
        <v>172</v>
      </c>
      <c r="N64" s="19" t="s">
        <v>173</v>
      </c>
      <c r="O64" s="14" t="s">
        <v>174</v>
      </c>
      <c r="P64" s="14">
        <v>4</v>
      </c>
      <c r="Q64" s="14"/>
      <c r="R64" s="14">
        <v>2</v>
      </c>
      <c r="S64" s="14"/>
      <c r="T64" s="14"/>
      <c r="U64" s="14"/>
      <c r="V64" s="14"/>
      <c r="W64" s="14"/>
      <c r="X64" s="14"/>
      <c r="Y64" s="14">
        <v>2</v>
      </c>
      <c r="Z64" s="14"/>
      <c r="AA64" s="14"/>
      <c r="AB64" s="18"/>
    </row>
    <row r="65" spans="2:28" ht="12.75" x14ac:dyDescent="0.2">
      <c r="B65" s="86"/>
      <c r="C65" s="89"/>
      <c r="D65" s="79"/>
      <c r="E65" s="79">
        <v>69</v>
      </c>
      <c r="F65" s="79" t="s">
        <v>768</v>
      </c>
      <c r="G65" s="81" t="s">
        <v>54</v>
      </c>
      <c r="H65" s="83" t="s">
        <v>175</v>
      </c>
      <c r="I65" s="15"/>
      <c r="J65" s="15"/>
      <c r="K65" s="100">
        <f>SUM(L65:L69)</f>
        <v>0</v>
      </c>
      <c r="L65" s="51">
        <v>0</v>
      </c>
      <c r="M65" s="14" t="s">
        <v>176</v>
      </c>
      <c r="N65" s="19" t="s">
        <v>141</v>
      </c>
      <c r="O65" s="14" t="s">
        <v>142</v>
      </c>
      <c r="P65" s="14">
        <v>25</v>
      </c>
      <c r="Q65" s="14">
        <v>2</v>
      </c>
      <c r="R65" s="14">
        <v>2</v>
      </c>
      <c r="S65" s="14">
        <v>2</v>
      </c>
      <c r="T65" s="14">
        <v>2</v>
      </c>
      <c r="U65" s="14">
        <v>2</v>
      </c>
      <c r="V65" s="14">
        <v>2</v>
      </c>
      <c r="W65" s="14">
        <v>2</v>
      </c>
      <c r="X65" s="14">
        <v>2</v>
      </c>
      <c r="Y65" s="14">
        <v>2</v>
      </c>
      <c r="Z65" s="14">
        <v>2</v>
      </c>
      <c r="AA65" s="14">
        <v>2</v>
      </c>
      <c r="AB65" s="18">
        <v>3</v>
      </c>
    </row>
    <row r="66" spans="2:28" ht="38.25" x14ac:dyDescent="0.2">
      <c r="B66" s="86"/>
      <c r="C66" s="89"/>
      <c r="D66" s="79"/>
      <c r="E66" s="79"/>
      <c r="F66" s="79"/>
      <c r="G66" s="81"/>
      <c r="H66" s="83"/>
      <c r="I66" s="15"/>
      <c r="J66" s="15"/>
      <c r="K66" s="102"/>
      <c r="L66" s="51">
        <v>0</v>
      </c>
      <c r="M66" s="14" t="s">
        <v>177</v>
      </c>
      <c r="N66" s="19" t="s">
        <v>178</v>
      </c>
      <c r="O66" s="14" t="s">
        <v>179</v>
      </c>
      <c r="P66" s="14">
        <v>4</v>
      </c>
      <c r="Q66" s="14"/>
      <c r="R66" s="14"/>
      <c r="S66" s="14">
        <v>1</v>
      </c>
      <c r="T66" s="14"/>
      <c r="U66" s="14"/>
      <c r="V66" s="14">
        <v>1</v>
      </c>
      <c r="W66" s="14"/>
      <c r="X66" s="14"/>
      <c r="Y66" s="14">
        <v>1</v>
      </c>
      <c r="Z66" s="14"/>
      <c r="AA66" s="14"/>
      <c r="AB66" s="18">
        <v>1</v>
      </c>
    </row>
    <row r="67" spans="2:28" ht="25.5" x14ac:dyDescent="0.2">
      <c r="B67" s="86"/>
      <c r="C67" s="89"/>
      <c r="D67" s="79"/>
      <c r="E67" s="79"/>
      <c r="F67" s="79"/>
      <c r="G67" s="81"/>
      <c r="H67" s="83"/>
      <c r="I67" s="15"/>
      <c r="J67" s="15"/>
      <c r="K67" s="102"/>
      <c r="L67" s="51">
        <v>0</v>
      </c>
      <c r="M67" s="14" t="s">
        <v>180</v>
      </c>
      <c r="N67" s="19" t="s">
        <v>181</v>
      </c>
      <c r="O67" s="14" t="s">
        <v>182</v>
      </c>
      <c r="P67" s="14">
        <v>2</v>
      </c>
      <c r="Q67" s="14"/>
      <c r="R67" s="14"/>
      <c r="S67" s="14"/>
      <c r="T67" s="14"/>
      <c r="U67" s="14"/>
      <c r="V67" s="14">
        <v>1</v>
      </c>
      <c r="W67" s="14"/>
      <c r="X67" s="14"/>
      <c r="Y67" s="14"/>
      <c r="Z67" s="14"/>
      <c r="AA67" s="14"/>
      <c r="AB67" s="18">
        <v>1</v>
      </c>
    </row>
    <row r="68" spans="2:28" ht="38.25" x14ac:dyDescent="0.2">
      <c r="B68" s="86"/>
      <c r="C68" s="89"/>
      <c r="D68" s="79"/>
      <c r="E68" s="79"/>
      <c r="F68" s="79"/>
      <c r="G68" s="81"/>
      <c r="H68" s="83"/>
      <c r="I68" s="15"/>
      <c r="J68" s="15"/>
      <c r="K68" s="102"/>
      <c r="L68" s="51">
        <v>0</v>
      </c>
      <c r="M68" s="14" t="s">
        <v>183</v>
      </c>
      <c r="N68" s="19" t="s">
        <v>184</v>
      </c>
      <c r="O68" s="14" t="s">
        <v>185</v>
      </c>
      <c r="P68" s="14">
        <v>1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8">
        <v>1</v>
      </c>
    </row>
    <row r="69" spans="2:28" ht="39" thickBot="1" x14ac:dyDescent="0.25">
      <c r="B69" s="87"/>
      <c r="C69" s="90"/>
      <c r="D69" s="80"/>
      <c r="E69" s="80"/>
      <c r="F69" s="80"/>
      <c r="G69" s="82"/>
      <c r="H69" s="84"/>
      <c r="I69" s="24"/>
      <c r="J69" s="24"/>
      <c r="K69" s="103"/>
      <c r="L69" s="52">
        <v>0</v>
      </c>
      <c r="M69" s="23" t="s">
        <v>186</v>
      </c>
      <c r="N69" s="25" t="s">
        <v>187</v>
      </c>
      <c r="O69" s="23" t="s">
        <v>188</v>
      </c>
      <c r="P69" s="23">
        <v>1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6">
        <v>1</v>
      </c>
    </row>
    <row r="70" spans="2:28" ht="13.5" thickBot="1" x14ac:dyDescent="0.25">
      <c r="B70" s="30"/>
      <c r="C70" s="40"/>
      <c r="D70" s="40"/>
      <c r="E70" s="40"/>
      <c r="F70" s="40"/>
      <c r="G70" s="61"/>
      <c r="H70" s="40"/>
      <c r="I70" s="40"/>
      <c r="J70" s="40"/>
      <c r="K70" s="62">
        <f>SUM(K53:K69)</f>
        <v>7587048.0399999991</v>
      </c>
      <c r="L70" s="33" t="s">
        <v>831</v>
      </c>
      <c r="M70" s="30"/>
      <c r="N70" s="6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 spans="2:28" ht="12.75" x14ac:dyDescent="0.2">
      <c r="B71" s="85" t="s">
        <v>189</v>
      </c>
      <c r="C71" s="88" t="s">
        <v>190</v>
      </c>
      <c r="D71" s="112">
        <f>SUM(K71:K97)</f>
        <v>16019499.99</v>
      </c>
      <c r="E71" s="91">
        <v>4</v>
      </c>
      <c r="F71" s="91" t="s">
        <v>769</v>
      </c>
      <c r="G71" s="92" t="s">
        <v>23</v>
      </c>
      <c r="H71" s="93" t="s">
        <v>191</v>
      </c>
      <c r="I71" s="9"/>
      <c r="J71" s="9"/>
      <c r="K71" s="111">
        <f>SUM(L71:L79)</f>
        <v>2981174.4299999997</v>
      </c>
      <c r="L71" s="42">
        <v>2686206.75</v>
      </c>
      <c r="M71" s="8" t="s">
        <v>117</v>
      </c>
      <c r="N71" s="10" t="s">
        <v>141</v>
      </c>
      <c r="O71" s="8" t="s">
        <v>192</v>
      </c>
      <c r="P71" s="65">
        <f>SUM(Q71:AB71)</f>
        <v>25</v>
      </c>
      <c r="Q71" s="8">
        <v>2</v>
      </c>
      <c r="R71" s="8">
        <v>2</v>
      </c>
      <c r="S71" s="8">
        <v>2</v>
      </c>
      <c r="T71" s="8">
        <v>2</v>
      </c>
      <c r="U71" s="8">
        <v>2</v>
      </c>
      <c r="V71" s="8">
        <v>2</v>
      </c>
      <c r="W71" s="8">
        <v>2</v>
      </c>
      <c r="X71" s="8">
        <v>2</v>
      </c>
      <c r="Y71" s="8">
        <v>2</v>
      </c>
      <c r="Z71" s="8">
        <v>2</v>
      </c>
      <c r="AA71" s="8">
        <v>2</v>
      </c>
      <c r="AB71" s="11">
        <v>3</v>
      </c>
    </row>
    <row r="72" spans="2:28" ht="12.75" x14ac:dyDescent="0.2">
      <c r="B72" s="86"/>
      <c r="C72" s="89"/>
      <c r="D72" s="79"/>
      <c r="E72" s="79"/>
      <c r="F72" s="79"/>
      <c r="G72" s="81"/>
      <c r="H72" s="83"/>
      <c r="I72" s="15"/>
      <c r="J72" s="15"/>
      <c r="K72" s="102"/>
      <c r="L72" s="43">
        <v>36870.960000000006</v>
      </c>
      <c r="M72" s="14" t="s">
        <v>143</v>
      </c>
      <c r="N72" s="19" t="s">
        <v>193</v>
      </c>
      <c r="O72" s="14" t="s">
        <v>194</v>
      </c>
      <c r="P72" s="31">
        <f t="shared" ref="P72:P79" si="0">SUM(Q71:AB72)</f>
        <v>37</v>
      </c>
      <c r="Q72" s="14">
        <v>1</v>
      </c>
      <c r="R72" s="14">
        <v>1</v>
      </c>
      <c r="S72" s="14">
        <v>1</v>
      </c>
      <c r="T72" s="14">
        <v>1</v>
      </c>
      <c r="U72" s="14">
        <v>1</v>
      </c>
      <c r="V72" s="14">
        <v>1</v>
      </c>
      <c r="W72" s="14">
        <v>1</v>
      </c>
      <c r="X72" s="14">
        <v>1</v>
      </c>
      <c r="Y72" s="14">
        <v>1</v>
      </c>
      <c r="Z72" s="14">
        <v>1</v>
      </c>
      <c r="AA72" s="14">
        <v>1</v>
      </c>
      <c r="AB72" s="18">
        <v>1</v>
      </c>
    </row>
    <row r="73" spans="2:28" ht="12.75" x14ac:dyDescent="0.2">
      <c r="B73" s="86"/>
      <c r="C73" s="89"/>
      <c r="D73" s="79"/>
      <c r="E73" s="79"/>
      <c r="F73" s="79"/>
      <c r="G73" s="81"/>
      <c r="H73" s="83"/>
      <c r="I73" s="15"/>
      <c r="J73" s="15"/>
      <c r="K73" s="102"/>
      <c r="L73" s="43">
        <v>36870.960000000006</v>
      </c>
      <c r="M73" s="14" t="s">
        <v>146</v>
      </c>
      <c r="N73" s="19" t="s">
        <v>195</v>
      </c>
      <c r="O73" s="14" t="s">
        <v>194</v>
      </c>
      <c r="P73" s="31">
        <f t="shared" si="0"/>
        <v>24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4">
        <v>1</v>
      </c>
      <c r="W73" s="14">
        <v>1</v>
      </c>
      <c r="X73" s="14">
        <v>1</v>
      </c>
      <c r="Y73" s="14">
        <v>1</v>
      </c>
      <c r="Z73" s="14">
        <v>1</v>
      </c>
      <c r="AA73" s="14">
        <v>1</v>
      </c>
      <c r="AB73" s="18">
        <v>1</v>
      </c>
    </row>
    <row r="74" spans="2:28" ht="12.75" x14ac:dyDescent="0.2">
      <c r="B74" s="86"/>
      <c r="C74" s="89"/>
      <c r="D74" s="79"/>
      <c r="E74" s="79"/>
      <c r="F74" s="79"/>
      <c r="G74" s="81"/>
      <c r="H74" s="83"/>
      <c r="I74" s="15"/>
      <c r="J74" s="15"/>
      <c r="K74" s="102"/>
      <c r="L74" s="43">
        <v>36870.960000000006</v>
      </c>
      <c r="M74" s="14" t="s">
        <v>149</v>
      </c>
      <c r="N74" s="19" t="s">
        <v>196</v>
      </c>
      <c r="O74" s="14" t="s">
        <v>194</v>
      </c>
      <c r="P74" s="31">
        <f t="shared" si="0"/>
        <v>24</v>
      </c>
      <c r="Q74" s="14">
        <v>1</v>
      </c>
      <c r="R74" s="14">
        <v>1</v>
      </c>
      <c r="S74" s="14">
        <v>1</v>
      </c>
      <c r="T74" s="14">
        <v>1</v>
      </c>
      <c r="U74" s="14">
        <v>1</v>
      </c>
      <c r="V74" s="14">
        <v>1</v>
      </c>
      <c r="W74" s="14">
        <v>1</v>
      </c>
      <c r="X74" s="14">
        <v>1</v>
      </c>
      <c r="Y74" s="14">
        <v>1</v>
      </c>
      <c r="Z74" s="14">
        <v>1</v>
      </c>
      <c r="AA74" s="14">
        <v>1</v>
      </c>
      <c r="AB74" s="18">
        <v>1</v>
      </c>
    </row>
    <row r="75" spans="2:28" ht="25.5" x14ac:dyDescent="0.2">
      <c r="B75" s="86"/>
      <c r="C75" s="89"/>
      <c r="D75" s="79"/>
      <c r="E75" s="79"/>
      <c r="F75" s="79"/>
      <c r="G75" s="81"/>
      <c r="H75" s="83"/>
      <c r="I75" s="15"/>
      <c r="J75" s="15"/>
      <c r="K75" s="102"/>
      <c r="L75" s="43">
        <v>36870.960000000006</v>
      </c>
      <c r="M75" s="14" t="s">
        <v>152</v>
      </c>
      <c r="N75" s="19" t="s">
        <v>197</v>
      </c>
      <c r="O75" s="13" t="s">
        <v>198</v>
      </c>
      <c r="P75" s="31">
        <f t="shared" si="0"/>
        <v>15</v>
      </c>
      <c r="Q75" s="14"/>
      <c r="R75" s="14"/>
      <c r="S75" s="14">
        <v>1</v>
      </c>
      <c r="T75" s="14"/>
      <c r="U75" s="14"/>
      <c r="V75" s="14">
        <v>1</v>
      </c>
      <c r="W75" s="14"/>
      <c r="X75" s="14"/>
      <c r="Y75" s="14">
        <v>1</v>
      </c>
      <c r="Z75" s="14"/>
      <c r="AA75" s="14"/>
      <c r="AB75" s="18"/>
    </row>
    <row r="76" spans="2:28" ht="25.5" x14ac:dyDescent="0.2">
      <c r="B76" s="86"/>
      <c r="C76" s="89"/>
      <c r="D76" s="79"/>
      <c r="E76" s="79"/>
      <c r="F76" s="79"/>
      <c r="G76" s="81"/>
      <c r="H76" s="83"/>
      <c r="I76" s="15"/>
      <c r="J76" s="15"/>
      <c r="K76" s="102"/>
      <c r="L76" s="43">
        <v>36870.960000000006</v>
      </c>
      <c r="M76" s="14" t="s">
        <v>155</v>
      </c>
      <c r="N76" s="19" t="s">
        <v>199</v>
      </c>
      <c r="O76" s="14" t="s">
        <v>192</v>
      </c>
      <c r="P76" s="31">
        <f t="shared" si="0"/>
        <v>15</v>
      </c>
      <c r="Q76" s="14">
        <v>1</v>
      </c>
      <c r="R76" s="14">
        <v>1</v>
      </c>
      <c r="S76" s="14">
        <v>1</v>
      </c>
      <c r="T76" s="14">
        <v>1</v>
      </c>
      <c r="U76" s="14">
        <v>1</v>
      </c>
      <c r="V76" s="14">
        <v>1</v>
      </c>
      <c r="W76" s="14">
        <v>1</v>
      </c>
      <c r="X76" s="14">
        <v>1</v>
      </c>
      <c r="Y76" s="14">
        <v>1</v>
      </c>
      <c r="Z76" s="14">
        <v>1</v>
      </c>
      <c r="AA76" s="14">
        <v>1</v>
      </c>
      <c r="AB76" s="18">
        <v>1</v>
      </c>
    </row>
    <row r="77" spans="2:28" ht="12.75" x14ac:dyDescent="0.2">
      <c r="B77" s="86"/>
      <c r="C77" s="89"/>
      <c r="D77" s="79"/>
      <c r="E77" s="79"/>
      <c r="F77" s="79"/>
      <c r="G77" s="81"/>
      <c r="H77" s="83"/>
      <c r="I77" s="15"/>
      <c r="J77" s="15"/>
      <c r="K77" s="102"/>
      <c r="L77" s="43">
        <v>36870.960000000006</v>
      </c>
      <c r="M77" s="14" t="s">
        <v>200</v>
      </c>
      <c r="N77" s="19" t="s">
        <v>201</v>
      </c>
      <c r="O77" s="14" t="s">
        <v>202</v>
      </c>
      <c r="P77" s="31">
        <f t="shared" si="0"/>
        <v>15</v>
      </c>
      <c r="Q77" s="14"/>
      <c r="R77" s="14"/>
      <c r="S77" s="14">
        <v>1</v>
      </c>
      <c r="T77" s="14"/>
      <c r="U77" s="14"/>
      <c r="V77" s="14">
        <v>1</v>
      </c>
      <c r="W77" s="14"/>
      <c r="X77" s="14"/>
      <c r="Y77" s="14">
        <v>1</v>
      </c>
      <c r="Z77" s="14"/>
      <c r="AA77" s="14"/>
      <c r="AB77" s="18"/>
    </row>
    <row r="78" spans="2:28" ht="25.5" x14ac:dyDescent="0.2">
      <c r="B78" s="86"/>
      <c r="C78" s="89"/>
      <c r="D78" s="79"/>
      <c r="E78" s="79"/>
      <c r="F78" s="79"/>
      <c r="G78" s="81"/>
      <c r="H78" s="83"/>
      <c r="I78" s="15"/>
      <c r="J78" s="15"/>
      <c r="K78" s="102"/>
      <c r="L78" s="43">
        <v>36870.960000000006</v>
      </c>
      <c r="M78" s="14" t="s">
        <v>203</v>
      </c>
      <c r="N78" s="19" t="s">
        <v>204</v>
      </c>
      <c r="O78" s="14" t="s">
        <v>205</v>
      </c>
      <c r="P78" s="31">
        <f t="shared" si="0"/>
        <v>13</v>
      </c>
      <c r="Q78" s="14">
        <v>1</v>
      </c>
      <c r="R78" s="14">
        <v>1</v>
      </c>
      <c r="S78" s="14">
        <v>1</v>
      </c>
      <c r="T78" s="14">
        <v>1</v>
      </c>
      <c r="U78" s="14">
        <v>1</v>
      </c>
      <c r="V78" s="14">
        <v>1</v>
      </c>
      <c r="W78" s="14">
        <v>1</v>
      </c>
      <c r="X78" s="14">
        <v>1</v>
      </c>
      <c r="Y78" s="14">
        <v>1</v>
      </c>
      <c r="Z78" s="14">
        <v>1</v>
      </c>
      <c r="AA78" s="14"/>
      <c r="AB78" s="18"/>
    </row>
    <row r="79" spans="2:28" ht="12.75" x14ac:dyDescent="0.2">
      <c r="B79" s="86"/>
      <c r="C79" s="89"/>
      <c r="D79" s="79"/>
      <c r="E79" s="79"/>
      <c r="F79" s="79"/>
      <c r="G79" s="81"/>
      <c r="H79" s="83"/>
      <c r="I79" s="15"/>
      <c r="J79" s="15"/>
      <c r="K79" s="101"/>
      <c r="L79" s="43">
        <v>36870.960000000006</v>
      </c>
      <c r="M79" s="14" t="s">
        <v>206</v>
      </c>
      <c r="N79" s="19" t="s">
        <v>207</v>
      </c>
      <c r="O79" s="14" t="s">
        <v>208</v>
      </c>
      <c r="P79" s="31">
        <f t="shared" si="0"/>
        <v>13</v>
      </c>
      <c r="Q79" s="14"/>
      <c r="R79" s="14"/>
      <c r="S79" s="14">
        <v>1</v>
      </c>
      <c r="T79" s="14"/>
      <c r="U79" s="14"/>
      <c r="V79" s="14">
        <v>1</v>
      </c>
      <c r="W79" s="14"/>
      <c r="X79" s="14"/>
      <c r="Y79" s="14">
        <v>1</v>
      </c>
      <c r="Z79" s="14"/>
      <c r="AA79" s="14"/>
      <c r="AB79" s="18"/>
    </row>
    <row r="80" spans="2:28" ht="12.75" x14ac:dyDescent="0.2">
      <c r="B80" s="86"/>
      <c r="C80" s="89"/>
      <c r="D80" s="79"/>
      <c r="E80" s="79">
        <v>9</v>
      </c>
      <c r="F80" s="79" t="s">
        <v>770</v>
      </c>
      <c r="G80" s="81" t="s">
        <v>48</v>
      </c>
      <c r="H80" s="83" t="s">
        <v>209</v>
      </c>
      <c r="I80" s="15"/>
      <c r="J80" s="15"/>
      <c r="K80" s="100">
        <f>SUM(L80:L85)</f>
        <v>895409.86</v>
      </c>
      <c r="L80" s="43">
        <v>772323.20000000007</v>
      </c>
      <c r="M80" s="14" t="s">
        <v>159</v>
      </c>
      <c r="N80" s="19" t="s">
        <v>141</v>
      </c>
      <c r="O80" s="14" t="s">
        <v>192</v>
      </c>
      <c r="P80" s="14">
        <v>25</v>
      </c>
      <c r="Q80" s="14">
        <v>2</v>
      </c>
      <c r="R80" s="14">
        <v>2</v>
      </c>
      <c r="S80" s="14">
        <v>2</v>
      </c>
      <c r="T80" s="14">
        <v>2</v>
      </c>
      <c r="U80" s="14">
        <v>2</v>
      </c>
      <c r="V80" s="14">
        <v>2</v>
      </c>
      <c r="W80" s="14">
        <v>2</v>
      </c>
      <c r="X80" s="14">
        <v>2</v>
      </c>
      <c r="Y80" s="14">
        <v>2</v>
      </c>
      <c r="Z80" s="14">
        <v>2</v>
      </c>
      <c r="AA80" s="14">
        <v>2</v>
      </c>
      <c r="AB80" s="18">
        <v>3</v>
      </c>
    </row>
    <row r="81" spans="2:28" ht="25.5" x14ac:dyDescent="0.2">
      <c r="B81" s="86"/>
      <c r="C81" s="89"/>
      <c r="D81" s="79"/>
      <c r="E81" s="79"/>
      <c r="F81" s="79"/>
      <c r="G81" s="81"/>
      <c r="H81" s="83"/>
      <c r="I81" s="15"/>
      <c r="J81" s="15"/>
      <c r="K81" s="102"/>
      <c r="L81" s="43">
        <v>14617.359999999997</v>
      </c>
      <c r="M81" s="14" t="s">
        <v>160</v>
      </c>
      <c r="N81" s="19" t="s">
        <v>210</v>
      </c>
      <c r="O81" s="14" t="s">
        <v>211</v>
      </c>
      <c r="P81" s="14">
        <v>4</v>
      </c>
      <c r="Q81" s="14">
        <v>1</v>
      </c>
      <c r="R81" s="14"/>
      <c r="S81" s="14"/>
      <c r="T81" s="14">
        <v>1</v>
      </c>
      <c r="U81" s="14"/>
      <c r="V81" s="14"/>
      <c r="W81" s="14">
        <v>1</v>
      </c>
      <c r="X81" s="14"/>
      <c r="Y81" s="14"/>
      <c r="Z81" s="14">
        <v>1</v>
      </c>
      <c r="AA81" s="14"/>
      <c r="AB81" s="18"/>
    </row>
    <row r="82" spans="2:28" ht="25.5" x14ac:dyDescent="0.2">
      <c r="B82" s="86"/>
      <c r="C82" s="89"/>
      <c r="D82" s="79"/>
      <c r="E82" s="79"/>
      <c r="F82" s="79"/>
      <c r="G82" s="81"/>
      <c r="H82" s="83"/>
      <c r="I82" s="15"/>
      <c r="J82" s="15"/>
      <c r="K82" s="102"/>
      <c r="L82" s="43">
        <v>14617.359999999997</v>
      </c>
      <c r="M82" s="14" t="s">
        <v>163</v>
      </c>
      <c r="N82" s="19" t="s">
        <v>212</v>
      </c>
      <c r="O82" s="14" t="s">
        <v>213</v>
      </c>
      <c r="P82" s="14">
        <v>4</v>
      </c>
      <c r="Q82" s="14"/>
      <c r="R82" s="14"/>
      <c r="S82" s="14"/>
      <c r="T82" s="14">
        <v>1</v>
      </c>
      <c r="U82" s="14"/>
      <c r="V82" s="14"/>
      <c r="W82" s="14"/>
      <c r="X82" s="14"/>
      <c r="Y82" s="14"/>
      <c r="Z82" s="14"/>
      <c r="AA82" s="14"/>
      <c r="AB82" s="18">
        <v>3</v>
      </c>
    </row>
    <row r="83" spans="2:28" ht="25.5" x14ac:dyDescent="0.2">
      <c r="B83" s="86"/>
      <c r="C83" s="89"/>
      <c r="D83" s="79"/>
      <c r="E83" s="79"/>
      <c r="F83" s="79"/>
      <c r="G83" s="81"/>
      <c r="H83" s="83"/>
      <c r="I83" s="15"/>
      <c r="J83" s="15"/>
      <c r="K83" s="102"/>
      <c r="L83" s="43">
        <v>64617.3</v>
      </c>
      <c r="M83" s="14" t="s">
        <v>214</v>
      </c>
      <c r="N83" s="19" t="s">
        <v>215</v>
      </c>
      <c r="O83" s="14" t="s">
        <v>216</v>
      </c>
      <c r="P83" s="14">
        <v>1</v>
      </c>
      <c r="Q83" s="14"/>
      <c r="R83" s="14"/>
      <c r="S83" s="14"/>
      <c r="T83" s="14"/>
      <c r="U83" s="14"/>
      <c r="V83" s="14"/>
      <c r="W83" s="14"/>
      <c r="X83" s="14"/>
      <c r="Y83" s="14">
        <v>1</v>
      </c>
      <c r="Z83" s="14"/>
      <c r="AA83" s="14"/>
      <c r="AB83" s="18"/>
    </row>
    <row r="84" spans="2:28" ht="25.5" x14ac:dyDescent="0.2">
      <c r="B84" s="86"/>
      <c r="C84" s="89"/>
      <c r="D84" s="79"/>
      <c r="E84" s="79"/>
      <c r="F84" s="79"/>
      <c r="G84" s="81"/>
      <c r="H84" s="83"/>
      <c r="I84" s="15"/>
      <c r="J84" s="15"/>
      <c r="K84" s="102"/>
      <c r="L84" s="43">
        <v>14617.32</v>
      </c>
      <c r="M84" s="14" t="s">
        <v>169</v>
      </c>
      <c r="N84" s="19" t="s">
        <v>217</v>
      </c>
      <c r="O84" s="14" t="s">
        <v>218</v>
      </c>
      <c r="P84" s="14">
        <v>1</v>
      </c>
      <c r="Q84" s="14"/>
      <c r="R84" s="14"/>
      <c r="S84" s="14"/>
      <c r="T84" s="14"/>
      <c r="U84" s="14"/>
      <c r="V84" s="14"/>
      <c r="W84" s="14"/>
      <c r="X84" s="14">
        <v>1</v>
      </c>
      <c r="Y84" s="14"/>
      <c r="Z84" s="14"/>
      <c r="AA84" s="14"/>
      <c r="AB84" s="18"/>
    </row>
    <row r="85" spans="2:28" ht="12.75" x14ac:dyDescent="0.2">
      <c r="B85" s="86"/>
      <c r="C85" s="89"/>
      <c r="D85" s="79"/>
      <c r="E85" s="79"/>
      <c r="F85" s="79"/>
      <c r="G85" s="81"/>
      <c r="H85" s="83"/>
      <c r="I85" s="15"/>
      <c r="J85" s="15"/>
      <c r="K85" s="101"/>
      <c r="L85" s="43">
        <v>14617.32</v>
      </c>
      <c r="M85" s="14" t="s">
        <v>172</v>
      </c>
      <c r="N85" s="19" t="s">
        <v>219</v>
      </c>
      <c r="O85" s="14" t="s">
        <v>220</v>
      </c>
      <c r="P85" s="14">
        <v>1</v>
      </c>
      <c r="Q85" s="14"/>
      <c r="R85" s="14"/>
      <c r="S85" s="14"/>
      <c r="T85" s="14"/>
      <c r="U85" s="14"/>
      <c r="V85" s="14"/>
      <c r="W85" s="14"/>
      <c r="X85" s="14"/>
      <c r="Y85" s="14"/>
      <c r="Z85" s="14">
        <v>1</v>
      </c>
      <c r="AA85" s="14"/>
      <c r="AB85" s="18"/>
    </row>
    <row r="86" spans="2:28" ht="25.9" customHeight="1" x14ac:dyDescent="0.2">
      <c r="B86" s="86"/>
      <c r="C86" s="89"/>
      <c r="D86" s="79"/>
      <c r="E86" s="79">
        <v>2</v>
      </c>
      <c r="F86" s="79" t="s">
        <v>771</v>
      </c>
      <c r="G86" s="81" t="s">
        <v>54</v>
      </c>
      <c r="H86" s="83" t="s">
        <v>221</v>
      </c>
      <c r="I86" s="15"/>
      <c r="J86" s="15"/>
      <c r="K86" s="100">
        <f>SUM(L86:L87)</f>
        <v>8366114.7000000002</v>
      </c>
      <c r="L86" s="43">
        <v>8274331.6200000001</v>
      </c>
      <c r="M86" s="14" t="s">
        <v>176</v>
      </c>
      <c r="N86" s="19" t="s">
        <v>141</v>
      </c>
      <c r="O86" s="14" t="s">
        <v>192</v>
      </c>
      <c r="P86" s="14">
        <v>25</v>
      </c>
      <c r="Q86" s="14">
        <v>2</v>
      </c>
      <c r="R86" s="14">
        <v>2</v>
      </c>
      <c r="S86" s="14">
        <v>2</v>
      </c>
      <c r="T86" s="14">
        <v>2</v>
      </c>
      <c r="U86" s="14">
        <v>2</v>
      </c>
      <c r="V86" s="14">
        <v>2</v>
      </c>
      <c r="W86" s="14">
        <v>2</v>
      </c>
      <c r="X86" s="14">
        <v>2</v>
      </c>
      <c r="Y86" s="14">
        <v>2</v>
      </c>
      <c r="Z86" s="14">
        <v>2</v>
      </c>
      <c r="AA86" s="14">
        <v>2</v>
      </c>
      <c r="AB86" s="18">
        <v>3</v>
      </c>
    </row>
    <row r="87" spans="2:28" ht="38.25" x14ac:dyDescent="0.2">
      <c r="B87" s="86"/>
      <c r="C87" s="89"/>
      <c r="D87" s="79"/>
      <c r="E87" s="79"/>
      <c r="F87" s="79"/>
      <c r="G87" s="81"/>
      <c r="H87" s="83"/>
      <c r="I87" s="15"/>
      <c r="J87" s="15"/>
      <c r="K87" s="101"/>
      <c r="L87" s="43">
        <v>91783.08</v>
      </c>
      <c r="M87" s="14" t="s">
        <v>177</v>
      </c>
      <c r="N87" s="19" t="s">
        <v>222</v>
      </c>
      <c r="O87" s="13" t="s">
        <v>223</v>
      </c>
      <c r="P87" s="14">
        <v>12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1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8">
        <v>1</v>
      </c>
    </row>
    <row r="88" spans="2:28" ht="12.75" x14ac:dyDescent="0.2">
      <c r="B88" s="86"/>
      <c r="C88" s="89"/>
      <c r="D88" s="79"/>
      <c r="E88" s="79">
        <v>8</v>
      </c>
      <c r="F88" s="79" t="s">
        <v>772</v>
      </c>
      <c r="G88" s="81" t="s">
        <v>63</v>
      </c>
      <c r="H88" s="83" t="s">
        <v>224</v>
      </c>
      <c r="I88" s="15"/>
      <c r="J88" s="15"/>
      <c r="K88" s="100">
        <f>SUM(L88:L93)</f>
        <v>2907478.0600000005</v>
      </c>
      <c r="L88" s="43">
        <v>1717011.16</v>
      </c>
      <c r="M88" s="14" t="s">
        <v>225</v>
      </c>
      <c r="N88" s="19" t="s">
        <v>141</v>
      </c>
      <c r="O88" s="14" t="s">
        <v>192</v>
      </c>
      <c r="P88" s="14">
        <v>25</v>
      </c>
      <c r="Q88" s="14">
        <v>2</v>
      </c>
      <c r="R88" s="14">
        <v>2</v>
      </c>
      <c r="S88" s="14">
        <v>2</v>
      </c>
      <c r="T88" s="14">
        <v>2</v>
      </c>
      <c r="U88" s="14">
        <v>2</v>
      </c>
      <c r="V88" s="14">
        <v>2</v>
      </c>
      <c r="W88" s="14">
        <v>2</v>
      </c>
      <c r="X88" s="14">
        <v>2</v>
      </c>
      <c r="Y88" s="14">
        <v>2</v>
      </c>
      <c r="Z88" s="14">
        <v>2</v>
      </c>
      <c r="AA88" s="14">
        <v>2</v>
      </c>
      <c r="AB88" s="18">
        <v>3</v>
      </c>
    </row>
    <row r="89" spans="2:28" ht="51" x14ac:dyDescent="0.2">
      <c r="B89" s="86"/>
      <c r="C89" s="89"/>
      <c r="D89" s="79"/>
      <c r="E89" s="79"/>
      <c r="F89" s="79"/>
      <c r="G89" s="81"/>
      <c r="H89" s="83"/>
      <c r="I89" s="15"/>
      <c r="J89" s="15"/>
      <c r="K89" s="102"/>
      <c r="L89" s="43">
        <v>929139.36</v>
      </c>
      <c r="M89" s="14" t="s">
        <v>226</v>
      </c>
      <c r="N89" s="19" t="s">
        <v>227</v>
      </c>
      <c r="O89" s="14" t="s">
        <v>228</v>
      </c>
      <c r="P89" s="14">
        <v>1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8">
        <v>1</v>
      </c>
    </row>
    <row r="90" spans="2:28" ht="25.5" x14ac:dyDescent="0.2">
      <c r="B90" s="86"/>
      <c r="C90" s="89"/>
      <c r="D90" s="79"/>
      <c r="E90" s="79"/>
      <c r="F90" s="79"/>
      <c r="G90" s="81"/>
      <c r="H90" s="83"/>
      <c r="I90" s="15"/>
      <c r="J90" s="15"/>
      <c r="K90" s="102"/>
      <c r="L90" s="43">
        <v>49346.679999999993</v>
      </c>
      <c r="M90" s="14" t="s">
        <v>229</v>
      </c>
      <c r="N90" s="19" t="s">
        <v>230</v>
      </c>
      <c r="O90" s="14" t="s">
        <v>231</v>
      </c>
      <c r="P90" s="14">
        <v>4</v>
      </c>
      <c r="Q90" s="14">
        <v>1</v>
      </c>
      <c r="R90" s="14">
        <v>1</v>
      </c>
      <c r="S90" s="14"/>
      <c r="T90" s="14">
        <v>1</v>
      </c>
      <c r="U90" s="14"/>
      <c r="V90" s="14"/>
      <c r="W90" s="14"/>
      <c r="X90" s="14">
        <v>1</v>
      </c>
      <c r="Y90" s="14"/>
      <c r="Z90" s="14"/>
      <c r="AA90" s="14"/>
      <c r="AB90" s="18"/>
    </row>
    <row r="91" spans="2:28" ht="38.25" x14ac:dyDescent="0.2">
      <c r="B91" s="86"/>
      <c r="C91" s="89"/>
      <c r="D91" s="79"/>
      <c r="E91" s="79"/>
      <c r="F91" s="79"/>
      <c r="G91" s="81"/>
      <c r="H91" s="83"/>
      <c r="I91" s="15"/>
      <c r="J91" s="15"/>
      <c r="K91" s="102"/>
      <c r="L91" s="43">
        <v>64346.679999999993</v>
      </c>
      <c r="M91" s="14" t="s">
        <v>232</v>
      </c>
      <c r="N91" s="19" t="s">
        <v>233</v>
      </c>
      <c r="O91" s="14" t="s">
        <v>234</v>
      </c>
      <c r="P91" s="14">
        <v>8</v>
      </c>
      <c r="Q91" s="14"/>
      <c r="R91" s="14"/>
      <c r="S91" s="14">
        <v>2</v>
      </c>
      <c r="T91" s="14"/>
      <c r="U91" s="14"/>
      <c r="V91" s="14">
        <v>2</v>
      </c>
      <c r="W91" s="14"/>
      <c r="X91" s="14"/>
      <c r="Y91" s="14">
        <v>2</v>
      </c>
      <c r="Z91" s="14"/>
      <c r="AA91" s="14"/>
      <c r="AB91" s="18">
        <v>2</v>
      </c>
    </row>
    <row r="92" spans="2:28" ht="25.5" x14ac:dyDescent="0.2">
      <c r="B92" s="86"/>
      <c r="C92" s="89"/>
      <c r="D92" s="79"/>
      <c r="E92" s="79"/>
      <c r="F92" s="79"/>
      <c r="G92" s="81"/>
      <c r="H92" s="83"/>
      <c r="I92" s="15"/>
      <c r="J92" s="15"/>
      <c r="K92" s="102"/>
      <c r="L92" s="43">
        <v>74346.709999999992</v>
      </c>
      <c r="M92" s="14" t="s">
        <v>235</v>
      </c>
      <c r="N92" s="19" t="s">
        <v>236</v>
      </c>
      <c r="O92" s="14" t="s">
        <v>237</v>
      </c>
      <c r="P92" s="14">
        <v>2</v>
      </c>
      <c r="Q92" s="14"/>
      <c r="R92" s="14"/>
      <c r="S92" s="14"/>
      <c r="T92" s="14"/>
      <c r="U92" s="14"/>
      <c r="V92" s="14">
        <v>1</v>
      </c>
      <c r="W92" s="14"/>
      <c r="X92" s="14"/>
      <c r="Y92" s="14"/>
      <c r="Z92" s="14"/>
      <c r="AA92" s="14">
        <v>1</v>
      </c>
      <c r="AB92" s="18"/>
    </row>
    <row r="93" spans="2:28" ht="25.5" x14ac:dyDescent="0.2">
      <c r="B93" s="86"/>
      <c r="C93" s="89"/>
      <c r="D93" s="79"/>
      <c r="E93" s="79"/>
      <c r="F93" s="79"/>
      <c r="G93" s="81"/>
      <c r="H93" s="83"/>
      <c r="I93" s="15"/>
      <c r="J93" s="15"/>
      <c r="K93" s="101"/>
      <c r="L93" s="43">
        <v>73287.47</v>
      </c>
      <c r="M93" s="14" t="s">
        <v>238</v>
      </c>
      <c r="N93" s="19" t="s">
        <v>239</v>
      </c>
      <c r="O93" s="14" t="s">
        <v>240</v>
      </c>
      <c r="P93" s="14">
        <v>1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8">
        <v>1</v>
      </c>
    </row>
    <row r="94" spans="2:28" ht="12.75" x14ac:dyDescent="0.2">
      <c r="B94" s="86"/>
      <c r="C94" s="89"/>
      <c r="D94" s="79"/>
      <c r="E94" s="79">
        <v>12</v>
      </c>
      <c r="F94" s="79" t="s">
        <v>773</v>
      </c>
      <c r="G94" s="81" t="s">
        <v>241</v>
      </c>
      <c r="H94" s="83" t="s">
        <v>242</v>
      </c>
      <c r="I94" s="15"/>
      <c r="J94" s="15"/>
      <c r="K94" s="100">
        <f>SUM(L94:L97)</f>
        <v>869322.94000000006</v>
      </c>
      <c r="L94" s="43">
        <v>839439.99000000011</v>
      </c>
      <c r="M94" s="14" t="s">
        <v>243</v>
      </c>
      <c r="N94" s="19" t="s">
        <v>141</v>
      </c>
      <c r="O94" s="14" t="s">
        <v>192</v>
      </c>
      <c r="P94" s="14">
        <v>25</v>
      </c>
      <c r="Q94" s="14">
        <v>2</v>
      </c>
      <c r="R94" s="14">
        <v>2</v>
      </c>
      <c r="S94" s="14">
        <v>2</v>
      </c>
      <c r="T94" s="14">
        <v>2</v>
      </c>
      <c r="U94" s="14">
        <v>2</v>
      </c>
      <c r="V94" s="14">
        <v>2</v>
      </c>
      <c r="W94" s="14">
        <v>2</v>
      </c>
      <c r="X94" s="14">
        <v>2</v>
      </c>
      <c r="Y94" s="14">
        <v>2</v>
      </c>
      <c r="Z94" s="14">
        <v>2</v>
      </c>
      <c r="AA94" s="14">
        <v>2</v>
      </c>
      <c r="AB94" s="18">
        <v>3</v>
      </c>
    </row>
    <row r="95" spans="2:28" ht="12.75" x14ac:dyDescent="0.2">
      <c r="B95" s="86"/>
      <c r="C95" s="89"/>
      <c r="D95" s="79"/>
      <c r="E95" s="79"/>
      <c r="F95" s="79"/>
      <c r="G95" s="81"/>
      <c r="H95" s="83"/>
      <c r="I95" s="15"/>
      <c r="J95" s="15"/>
      <c r="K95" s="102"/>
      <c r="L95" s="43">
        <v>9960.98</v>
      </c>
      <c r="M95" s="14" t="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="14"/>
      <c r="T95" s="14">
        <v>2</v>
      </c>
      <c r="U95" s="14">
        <v>2</v>
      </c>
      <c r="V95" s="14">
        <v>2</v>
      </c>
      <c r="W95" s="14">
        <v>2</v>
      </c>
      <c r="X95" s="14">
        <v>1</v>
      </c>
      <c r="Y95" s="14">
        <v>1</v>
      </c>
      <c r="Z95" s="14">
        <v>1</v>
      </c>
      <c r="AA95" s="14">
        <v>1</v>
      </c>
      <c r="AB95" s="18">
        <v>1</v>
      </c>
    </row>
    <row r="96" spans="2:28" ht="63" x14ac:dyDescent="0.2">
      <c r="B96" s="86"/>
      <c r="C96" s="89"/>
      <c r="D96" s="79"/>
      <c r="E96" s="79"/>
      <c r="F96" s="79"/>
      <c r="G96" s="81"/>
      <c r="H96" s="83"/>
      <c r="I96" s="15"/>
      <c r="J96" s="15"/>
      <c r="K96" s="102"/>
      <c r="L96" s="43">
        <v>9960.98</v>
      </c>
      <c r="M96" s="14" t="s">
        <v>247</v>
      </c>
      <c r="N96" s="32" t="s">
        <v>248</v>
      </c>
      <c r="O96" s="14" t="s">
        <v>208</v>
      </c>
      <c r="P96" s="14">
        <v>12</v>
      </c>
      <c r="Q96" s="14">
        <v>1</v>
      </c>
      <c r="R96" s="14">
        <v>1</v>
      </c>
      <c r="S96" s="14">
        <v>1</v>
      </c>
      <c r="T96" s="14">
        <v>1</v>
      </c>
      <c r="U96" s="14">
        <v>1</v>
      </c>
      <c r="V96" s="14">
        <v>1</v>
      </c>
      <c r="W96" s="14">
        <v>1</v>
      </c>
      <c r="X96" s="14">
        <v>1</v>
      </c>
      <c r="Y96" s="14">
        <v>1</v>
      </c>
      <c r="Z96" s="14">
        <v>1</v>
      </c>
      <c r="AA96" s="14">
        <v>1</v>
      </c>
      <c r="AB96" s="18">
        <v>1</v>
      </c>
    </row>
    <row r="97" spans="2:30" ht="39" thickBot="1" x14ac:dyDescent="0.25">
      <c r="B97" s="87"/>
      <c r="C97" s="90"/>
      <c r="D97" s="80"/>
      <c r="E97" s="80"/>
      <c r="F97" s="80"/>
      <c r="G97" s="82"/>
      <c r="H97" s="84"/>
      <c r="I97" s="24"/>
      <c r="J97" s="24"/>
      <c r="K97" s="103"/>
      <c r="L97" s="44">
        <v>9960.99</v>
      </c>
      <c r="M97" s="23" t="s">
        <v>249</v>
      </c>
      <c r="N97" s="25" t="s">
        <v>250</v>
      </c>
      <c r="O97" s="22" t="s">
        <v>251</v>
      </c>
      <c r="P97" s="23">
        <v>12</v>
      </c>
      <c r="Q97" s="23">
        <v>1</v>
      </c>
      <c r="R97" s="23">
        <v>1</v>
      </c>
      <c r="S97" s="23">
        <v>1</v>
      </c>
      <c r="T97" s="23">
        <v>1</v>
      </c>
      <c r="U97" s="23">
        <v>1</v>
      </c>
      <c r="V97" s="2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B97" s="26">
        <v>1</v>
      </c>
    </row>
    <row r="98" spans="2:30" ht="13.5" thickBot="1" x14ac:dyDescent="0.25">
      <c r="B98" s="30"/>
      <c r="C98" s="40"/>
      <c r="D98" s="40"/>
      <c r="E98" s="40"/>
      <c r="F98" s="40"/>
      <c r="G98" s="61"/>
      <c r="H98" s="40"/>
      <c r="I98" s="40"/>
      <c r="J98" s="40"/>
      <c r="K98" s="62">
        <f>SUM(K71:K97)</f>
        <v>16019499.99</v>
      </c>
      <c r="L98" s="33"/>
      <c r="M98" s="30"/>
      <c r="N98" s="63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 spans="2:30" ht="12.75" x14ac:dyDescent="0.2">
      <c r="B99" s="85" t="s">
        <v>252</v>
      </c>
      <c r="C99" s="88" t="s">
        <v>253</v>
      </c>
      <c r="D99" s="112">
        <f>SUM(K99:K151)</f>
        <v>45430536.43</v>
      </c>
      <c r="E99" s="91">
        <v>5</v>
      </c>
      <c r="F99" s="91" t="s">
        <v>774</v>
      </c>
      <c r="G99" s="92" t="s">
        <v>23</v>
      </c>
      <c r="H99" s="93" t="s">
        <v>254</v>
      </c>
      <c r="I99" s="9"/>
      <c r="J99" s="9"/>
      <c r="K99" s="111">
        <f>SUM(L99:L105)</f>
        <v>10763401.770000003</v>
      </c>
      <c r="L99" s="42">
        <v>3005899.82</v>
      </c>
      <c r="M99" s="8" t="s">
        <v>117</v>
      </c>
      <c r="N99" s="10" t="s">
        <v>141</v>
      </c>
      <c r="O99" s="7" t="s">
        <v>255</v>
      </c>
      <c r="P99" s="8">
        <v>25</v>
      </c>
      <c r="Q99" s="8">
        <v>2</v>
      </c>
      <c r="R99" s="8">
        <v>2</v>
      </c>
      <c r="S99" s="8">
        <v>2</v>
      </c>
      <c r="T99" s="8">
        <v>2</v>
      </c>
      <c r="U99" s="8">
        <v>2</v>
      </c>
      <c r="V99" s="8">
        <v>2</v>
      </c>
      <c r="W99" s="8">
        <v>2</v>
      </c>
      <c r="X99" s="8">
        <v>2</v>
      </c>
      <c r="Y99" s="8">
        <v>2</v>
      </c>
      <c r="Z99" s="8">
        <v>2</v>
      </c>
      <c r="AA99" s="8">
        <v>2</v>
      </c>
      <c r="AB99" s="11">
        <v>3</v>
      </c>
    </row>
    <row r="100" spans="2:30" ht="51" x14ac:dyDescent="0.2">
      <c r="B100" s="86"/>
      <c r="C100" s="89"/>
      <c r="D100" s="79"/>
      <c r="E100" s="79"/>
      <c r="F100" s="79"/>
      <c r="G100" s="81"/>
      <c r="H100" s="83"/>
      <c r="I100" s="15"/>
      <c r="J100" s="15"/>
      <c r="K100" s="102"/>
      <c r="L100" s="43">
        <v>7341944.1600000001</v>
      </c>
      <c r="M100" s="14" t="s">
        <v>27</v>
      </c>
      <c r="N100" s="19" t="s">
        <v>256</v>
      </c>
      <c r="O100" s="13" t="s">
        <v>257</v>
      </c>
      <c r="P100" s="14">
        <v>12</v>
      </c>
      <c r="Q100" s="14">
        <v>1</v>
      </c>
      <c r="R100" s="14">
        <v>1</v>
      </c>
      <c r="S100" s="14">
        <v>1</v>
      </c>
      <c r="T100" s="14">
        <v>1</v>
      </c>
      <c r="U100" s="14">
        <v>1</v>
      </c>
      <c r="V100" s="14">
        <v>1</v>
      </c>
      <c r="W100" s="14">
        <v>1</v>
      </c>
      <c r="X100" s="14">
        <v>1</v>
      </c>
      <c r="Y100" s="14">
        <v>1</v>
      </c>
      <c r="Z100" s="14">
        <v>1</v>
      </c>
      <c r="AA100" s="14">
        <v>1</v>
      </c>
      <c r="AB100" s="18">
        <v>1</v>
      </c>
    </row>
    <row r="101" spans="2:30" ht="51" x14ac:dyDescent="0.2">
      <c r="B101" s="86"/>
      <c r="C101" s="89"/>
      <c r="D101" s="79"/>
      <c r="E101" s="79"/>
      <c r="F101" s="79"/>
      <c r="G101" s="81"/>
      <c r="H101" s="83"/>
      <c r="I101" s="15"/>
      <c r="J101" s="15"/>
      <c r="K101" s="102"/>
      <c r="L101" s="43">
        <v>83111.55</v>
      </c>
      <c r="M101" s="14" t="s">
        <v>30</v>
      </c>
      <c r="N101" s="19" t="s">
        <v>258</v>
      </c>
      <c r="O101" s="13" t="s">
        <v>257</v>
      </c>
      <c r="P101" s="14">
        <v>1</v>
      </c>
      <c r="Q101" s="14"/>
      <c r="R101" s="14"/>
      <c r="S101" s="14"/>
      <c r="T101" s="14">
        <v>1</v>
      </c>
      <c r="U101" s="14"/>
      <c r="V101" s="14"/>
      <c r="W101" s="14"/>
      <c r="X101" s="14"/>
      <c r="Y101" s="14"/>
      <c r="Z101" s="14"/>
      <c r="AA101" s="14"/>
      <c r="AB101" s="18"/>
    </row>
    <row r="102" spans="2:30" ht="12.75" x14ac:dyDescent="0.2">
      <c r="B102" s="86"/>
      <c r="C102" s="89"/>
      <c r="D102" s="79"/>
      <c r="E102" s="79"/>
      <c r="F102" s="79"/>
      <c r="G102" s="81"/>
      <c r="H102" s="83"/>
      <c r="I102" s="15"/>
      <c r="J102" s="15"/>
      <c r="K102" s="102"/>
      <c r="L102" s="43">
        <v>83111.55</v>
      </c>
      <c r="M102" s="14" t="s">
        <v>33</v>
      </c>
      <c r="N102" s="19" t="s">
        <v>259</v>
      </c>
      <c r="O102" s="13" t="s">
        <v>260</v>
      </c>
      <c r="P102" s="14">
        <v>1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>
        <v>1</v>
      </c>
      <c r="AA102" s="14"/>
      <c r="AB102" s="18"/>
    </row>
    <row r="103" spans="2:30" ht="12.75" x14ac:dyDescent="0.2">
      <c r="B103" s="86"/>
      <c r="C103" s="89"/>
      <c r="D103" s="79"/>
      <c r="E103" s="79"/>
      <c r="F103" s="79"/>
      <c r="G103" s="81"/>
      <c r="H103" s="83"/>
      <c r="I103" s="15"/>
      <c r="J103" s="15"/>
      <c r="K103" s="102"/>
      <c r="L103" s="43">
        <v>83111.55</v>
      </c>
      <c r="M103" s="14" t="s">
        <v>36</v>
      </c>
      <c r="N103" s="19" t="s">
        <v>261</v>
      </c>
      <c r="O103" s="13" t="s">
        <v>260</v>
      </c>
      <c r="P103" s="14">
        <v>1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8">
        <v>1</v>
      </c>
    </row>
    <row r="104" spans="2:30" ht="25.5" x14ac:dyDescent="0.2">
      <c r="B104" s="86"/>
      <c r="C104" s="89"/>
      <c r="D104" s="79"/>
      <c r="E104" s="79"/>
      <c r="F104" s="79"/>
      <c r="G104" s="81"/>
      <c r="H104" s="83"/>
      <c r="I104" s="15"/>
      <c r="J104" s="15"/>
      <c r="K104" s="102"/>
      <c r="L104" s="43">
        <v>130257.18000000001</v>
      </c>
      <c r="M104" s="14" t="s">
        <v>39</v>
      </c>
      <c r="N104" s="19" t="s">
        <v>262</v>
      </c>
      <c r="O104" s="13" t="s">
        <v>263</v>
      </c>
      <c r="P104" s="14">
        <v>3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8">
        <v>3</v>
      </c>
    </row>
    <row r="105" spans="2:30" ht="25.5" x14ac:dyDescent="0.2">
      <c r="B105" s="86"/>
      <c r="C105" s="89"/>
      <c r="D105" s="79"/>
      <c r="E105" s="79"/>
      <c r="F105" s="79"/>
      <c r="G105" s="81"/>
      <c r="H105" s="83"/>
      <c r="I105" s="15"/>
      <c r="J105" s="15"/>
      <c r="K105" s="101"/>
      <c r="L105" s="43">
        <v>35965.96</v>
      </c>
      <c r="M105" s="14" t="s">
        <v>42</v>
      </c>
      <c r="N105" s="19" t="s">
        <v>264</v>
      </c>
      <c r="O105" s="13" t="s">
        <v>265</v>
      </c>
      <c r="P105" s="14">
        <v>4</v>
      </c>
      <c r="Q105" s="14"/>
      <c r="R105" s="14"/>
      <c r="S105" s="14">
        <v>1</v>
      </c>
      <c r="T105" s="14"/>
      <c r="U105" s="14"/>
      <c r="V105" s="14">
        <v>1</v>
      </c>
      <c r="W105" s="14"/>
      <c r="X105" s="14"/>
      <c r="Y105" s="14">
        <v>1</v>
      </c>
      <c r="Z105" s="14"/>
      <c r="AA105" s="14"/>
      <c r="AB105" s="18">
        <v>1</v>
      </c>
    </row>
    <row r="106" spans="2:30" ht="12.75" x14ac:dyDescent="0.2">
      <c r="B106" s="86"/>
      <c r="C106" s="89"/>
      <c r="D106" s="79"/>
      <c r="E106" s="79">
        <v>19</v>
      </c>
      <c r="F106" s="79" t="s">
        <v>775</v>
      </c>
      <c r="G106" s="81" t="s">
        <v>48</v>
      </c>
      <c r="H106" s="83" t="s">
        <v>266</v>
      </c>
      <c r="I106" s="15"/>
      <c r="J106" s="15"/>
      <c r="K106" s="100">
        <f>SUM(L106:L108)</f>
        <v>2235491.2000000002</v>
      </c>
      <c r="L106" s="43">
        <v>688070.44</v>
      </c>
      <c r="M106" s="14" t="s">
        <v>159</v>
      </c>
      <c r="N106" s="19" t="s">
        <v>141</v>
      </c>
      <c r="O106" s="13" t="s">
        <v>255</v>
      </c>
      <c r="P106" s="14">
        <v>25</v>
      </c>
      <c r="Q106" s="14">
        <v>2</v>
      </c>
      <c r="R106" s="14">
        <v>2</v>
      </c>
      <c r="S106" s="14">
        <v>2</v>
      </c>
      <c r="T106" s="14">
        <v>2</v>
      </c>
      <c r="U106" s="14">
        <v>2</v>
      </c>
      <c r="V106" s="14">
        <v>2</v>
      </c>
      <c r="W106" s="14">
        <v>2</v>
      </c>
      <c r="X106" s="14">
        <v>2</v>
      </c>
      <c r="Y106" s="14">
        <v>2</v>
      </c>
      <c r="Z106" s="14">
        <v>2</v>
      </c>
      <c r="AA106" s="14">
        <v>2</v>
      </c>
      <c r="AB106" s="18">
        <v>3</v>
      </c>
    </row>
    <row r="107" spans="2:30" ht="51" x14ac:dyDescent="0.2">
      <c r="B107" s="86"/>
      <c r="C107" s="89"/>
      <c r="D107" s="79"/>
      <c r="E107" s="79"/>
      <c r="F107" s="79"/>
      <c r="G107" s="81"/>
      <c r="H107" s="83"/>
      <c r="I107" s="15"/>
      <c r="J107" s="15"/>
      <c r="K107" s="102"/>
      <c r="L107" s="43">
        <v>775420.8</v>
      </c>
      <c r="M107" s="14" t="s">
        <v>160</v>
      </c>
      <c r="N107" s="19" t="s">
        <v>267</v>
      </c>
      <c r="O107" s="13" t="s">
        <v>268</v>
      </c>
      <c r="P107" s="14">
        <v>1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8">
        <v>1</v>
      </c>
    </row>
    <row r="108" spans="2:30" ht="25.5" x14ac:dyDescent="0.2">
      <c r="B108" s="86"/>
      <c r="C108" s="89"/>
      <c r="D108" s="79"/>
      <c r="E108" s="79"/>
      <c r="F108" s="79"/>
      <c r="G108" s="81"/>
      <c r="H108" s="83"/>
      <c r="I108" s="15"/>
      <c r="J108" s="15"/>
      <c r="K108" s="101"/>
      <c r="L108" s="43">
        <v>771999.96</v>
      </c>
      <c r="M108" s="14" t="s">
        <v>163</v>
      </c>
      <c r="N108" s="19" t="s">
        <v>269</v>
      </c>
      <c r="O108" s="13" t="s">
        <v>270</v>
      </c>
      <c r="P108" s="14">
        <v>12</v>
      </c>
      <c r="Q108" s="14">
        <v>1</v>
      </c>
      <c r="R108" s="14">
        <v>1</v>
      </c>
      <c r="S108" s="14">
        <v>1</v>
      </c>
      <c r="T108" s="14">
        <v>1</v>
      </c>
      <c r="U108" s="14">
        <v>1</v>
      </c>
      <c r="V108" s="14">
        <v>1</v>
      </c>
      <c r="W108" s="14">
        <v>1</v>
      </c>
      <c r="X108" s="14">
        <v>1</v>
      </c>
      <c r="Y108" s="14">
        <v>1</v>
      </c>
      <c r="Z108" s="14">
        <v>1</v>
      </c>
      <c r="AA108" s="14">
        <v>1</v>
      </c>
      <c r="AB108" s="18">
        <v>1</v>
      </c>
    </row>
    <row r="109" spans="2:30" ht="12.75" x14ac:dyDescent="0.2">
      <c r="B109" s="86"/>
      <c r="C109" s="89"/>
      <c r="D109" s="79"/>
      <c r="E109" s="79">
        <v>32</v>
      </c>
      <c r="F109" s="79" t="s">
        <v>776</v>
      </c>
      <c r="G109" s="81" t="s">
        <v>54</v>
      </c>
      <c r="H109" s="83" t="s">
        <v>271</v>
      </c>
      <c r="I109" s="15"/>
      <c r="J109" s="15"/>
      <c r="K109" s="100">
        <f>SUM(L109:L114)</f>
        <v>1859452.7600000002</v>
      </c>
      <c r="L109" s="43">
        <v>1654360.6800000002</v>
      </c>
      <c r="M109" s="14" t="s">
        <v>176</v>
      </c>
      <c r="N109" s="19" t="s">
        <v>141</v>
      </c>
      <c r="O109" s="13" t="s">
        <v>255</v>
      </c>
      <c r="P109" s="14">
        <v>25</v>
      </c>
      <c r="Q109" s="14">
        <v>2</v>
      </c>
      <c r="R109" s="14">
        <v>2</v>
      </c>
      <c r="S109" s="14">
        <v>2</v>
      </c>
      <c r="T109" s="14">
        <v>2</v>
      </c>
      <c r="U109" s="14">
        <v>2</v>
      </c>
      <c r="V109" s="14">
        <v>2</v>
      </c>
      <c r="W109" s="14">
        <v>2</v>
      </c>
      <c r="X109" s="14">
        <v>2</v>
      </c>
      <c r="Y109" s="14">
        <v>2</v>
      </c>
      <c r="Z109" s="14">
        <v>2</v>
      </c>
      <c r="AA109" s="14">
        <v>2</v>
      </c>
      <c r="AB109" s="18">
        <v>3</v>
      </c>
      <c r="AC109" s="30"/>
      <c r="AD109" s="33"/>
    </row>
    <row r="110" spans="2:30" ht="25.5" x14ac:dyDescent="0.2">
      <c r="B110" s="86"/>
      <c r="C110" s="89"/>
      <c r="D110" s="79"/>
      <c r="E110" s="79"/>
      <c r="F110" s="79"/>
      <c r="G110" s="81"/>
      <c r="H110" s="83"/>
      <c r="I110" s="15"/>
      <c r="J110" s="15"/>
      <c r="K110" s="102"/>
      <c r="L110" s="43">
        <v>83034.48</v>
      </c>
      <c r="M110" s="14" t="s">
        <v>99</v>
      </c>
      <c r="N110" s="19" t="s">
        <v>272</v>
      </c>
      <c r="O110" s="13" t="s">
        <v>273</v>
      </c>
      <c r="P110" s="14">
        <v>12</v>
      </c>
      <c r="Q110" s="14">
        <v>1</v>
      </c>
      <c r="R110" s="14">
        <v>1</v>
      </c>
      <c r="S110" s="14">
        <v>1</v>
      </c>
      <c r="T110" s="14">
        <v>1</v>
      </c>
      <c r="U110" s="14">
        <v>1</v>
      </c>
      <c r="V110" s="14">
        <v>1</v>
      </c>
      <c r="W110" s="14">
        <v>1</v>
      </c>
      <c r="X110" s="14">
        <v>1</v>
      </c>
      <c r="Y110" s="14">
        <v>1</v>
      </c>
      <c r="Z110" s="14">
        <v>1</v>
      </c>
      <c r="AA110" s="14">
        <v>1</v>
      </c>
      <c r="AB110" s="18">
        <v>1</v>
      </c>
    </row>
    <row r="111" spans="2:30" ht="25.5" x14ac:dyDescent="0.2">
      <c r="B111" s="86"/>
      <c r="C111" s="89"/>
      <c r="D111" s="79"/>
      <c r="E111" s="79"/>
      <c r="F111" s="79"/>
      <c r="G111" s="81"/>
      <c r="H111" s="83"/>
      <c r="I111" s="15"/>
      <c r="J111" s="15"/>
      <c r="K111" s="102"/>
      <c r="L111" s="43">
        <v>83034.48</v>
      </c>
      <c r="M111" s="14" t="s">
        <v>102</v>
      </c>
      <c r="N111" s="19" t="s">
        <v>274</v>
      </c>
      <c r="O111" s="13" t="s">
        <v>275</v>
      </c>
      <c r="P111" s="14">
        <v>12</v>
      </c>
      <c r="Q111" s="14">
        <v>1</v>
      </c>
      <c r="R111" s="14">
        <v>1</v>
      </c>
      <c r="S111" s="14">
        <v>1</v>
      </c>
      <c r="T111" s="14">
        <v>1</v>
      </c>
      <c r="U111" s="14">
        <v>1</v>
      </c>
      <c r="V111" s="14">
        <v>1</v>
      </c>
      <c r="W111" s="14">
        <v>1</v>
      </c>
      <c r="X111" s="14">
        <v>1</v>
      </c>
      <c r="Y111" s="14">
        <v>1</v>
      </c>
      <c r="Z111" s="14">
        <v>1</v>
      </c>
      <c r="AA111" s="14">
        <v>1</v>
      </c>
      <c r="AB111" s="18">
        <v>1</v>
      </c>
    </row>
    <row r="112" spans="2:30" ht="25.5" x14ac:dyDescent="0.2">
      <c r="B112" s="86"/>
      <c r="C112" s="89"/>
      <c r="D112" s="79"/>
      <c r="E112" s="79"/>
      <c r="F112" s="79"/>
      <c r="G112" s="81"/>
      <c r="H112" s="83"/>
      <c r="I112" s="15"/>
      <c r="J112" s="15"/>
      <c r="K112" s="102"/>
      <c r="L112" s="51">
        <v>0</v>
      </c>
      <c r="M112" s="14" t="s">
        <v>105</v>
      </c>
      <c r="N112" s="19" t="s">
        <v>276</v>
      </c>
      <c r="O112" s="13" t="s">
        <v>277</v>
      </c>
      <c r="P112" s="14">
        <v>1</v>
      </c>
      <c r="Q112" s="14"/>
      <c r="R112" s="14"/>
      <c r="S112" s="14">
        <v>1</v>
      </c>
      <c r="T112" s="14"/>
      <c r="U112" s="14"/>
      <c r="V112" s="14"/>
      <c r="W112" s="14"/>
      <c r="X112" s="14"/>
      <c r="Y112" s="14"/>
      <c r="Z112" s="14"/>
      <c r="AA112" s="14"/>
      <c r="AB112" s="18"/>
    </row>
    <row r="113" spans="2:30" ht="25.5" x14ac:dyDescent="0.2">
      <c r="B113" s="86"/>
      <c r="C113" s="89"/>
      <c r="D113" s="79"/>
      <c r="E113" s="79"/>
      <c r="F113" s="79"/>
      <c r="G113" s="81"/>
      <c r="H113" s="83"/>
      <c r="I113" s="15"/>
      <c r="J113" s="15"/>
      <c r="K113" s="102"/>
      <c r="L113" s="43">
        <v>19511.560000000001</v>
      </c>
      <c r="M113" s="14" t="s">
        <v>278</v>
      </c>
      <c r="N113" s="34" t="s">
        <v>279</v>
      </c>
      <c r="O113" s="13" t="s">
        <v>273</v>
      </c>
      <c r="P113" s="20">
        <v>4</v>
      </c>
      <c r="Q113" s="35"/>
      <c r="R113" s="35"/>
      <c r="S113" s="35">
        <v>1</v>
      </c>
      <c r="T113" s="35"/>
      <c r="U113" s="35"/>
      <c r="V113" s="35">
        <v>1</v>
      </c>
      <c r="W113" s="35"/>
      <c r="X113" s="35"/>
      <c r="Y113" s="35">
        <v>1</v>
      </c>
      <c r="Z113" s="35"/>
      <c r="AA113" s="35"/>
      <c r="AB113" s="68">
        <v>1</v>
      </c>
    </row>
    <row r="114" spans="2:30" ht="25.5" x14ac:dyDescent="0.2">
      <c r="B114" s="86"/>
      <c r="C114" s="89"/>
      <c r="D114" s="79"/>
      <c r="E114" s="79"/>
      <c r="F114" s="79"/>
      <c r="G114" s="81"/>
      <c r="H114" s="83"/>
      <c r="I114" s="15"/>
      <c r="J114" s="15"/>
      <c r="K114" s="101"/>
      <c r="L114" s="43">
        <v>19511.560000000001</v>
      </c>
      <c r="M114" s="14" t="s">
        <v>280</v>
      </c>
      <c r="N114" s="34" t="s">
        <v>281</v>
      </c>
      <c r="O114" s="20" t="s">
        <v>255</v>
      </c>
      <c r="P114" s="20">
        <v>4</v>
      </c>
      <c r="Q114" s="35"/>
      <c r="R114" s="35"/>
      <c r="S114" s="35">
        <v>1</v>
      </c>
      <c r="T114" s="35"/>
      <c r="U114" s="35"/>
      <c r="V114" s="35">
        <v>1</v>
      </c>
      <c r="W114" s="35"/>
      <c r="X114" s="35"/>
      <c r="Y114" s="35">
        <v>1</v>
      </c>
      <c r="Z114" s="35"/>
      <c r="AA114" s="35"/>
      <c r="AB114" s="68">
        <v>1</v>
      </c>
    </row>
    <row r="115" spans="2:30" ht="12.75" x14ac:dyDescent="0.2">
      <c r="B115" s="86"/>
      <c r="C115" s="89"/>
      <c r="D115" s="79"/>
      <c r="E115" s="79">
        <v>37</v>
      </c>
      <c r="F115" s="79" t="s">
        <v>777</v>
      </c>
      <c r="G115" s="81" t="s">
        <v>63</v>
      </c>
      <c r="H115" s="83" t="s">
        <v>282</v>
      </c>
      <c r="I115" s="15"/>
      <c r="J115" s="15"/>
      <c r="K115" s="100">
        <f>SUM(L115:L119)</f>
        <v>16236569.399999999</v>
      </c>
      <c r="L115" s="43">
        <v>1599067.28</v>
      </c>
      <c r="M115" s="14" t="s">
        <v>225</v>
      </c>
      <c r="N115" s="19" t="s">
        <v>141</v>
      </c>
      <c r="O115" s="13" t="s">
        <v>255</v>
      </c>
      <c r="P115" s="14">
        <v>25</v>
      </c>
      <c r="Q115" s="14">
        <v>2</v>
      </c>
      <c r="R115" s="14">
        <v>2</v>
      </c>
      <c r="S115" s="14">
        <v>2</v>
      </c>
      <c r="T115" s="14">
        <v>2</v>
      </c>
      <c r="U115" s="14">
        <v>2</v>
      </c>
      <c r="V115" s="14">
        <v>2</v>
      </c>
      <c r="W115" s="14">
        <v>2</v>
      </c>
      <c r="X115" s="14">
        <v>2</v>
      </c>
      <c r="Y115" s="14">
        <v>2</v>
      </c>
      <c r="Z115" s="14">
        <v>2</v>
      </c>
      <c r="AA115" s="14">
        <v>2</v>
      </c>
      <c r="AB115" s="18">
        <v>3</v>
      </c>
      <c r="AC115" s="30"/>
      <c r="AD115" s="33"/>
    </row>
    <row r="116" spans="2:30" ht="38.25" x14ac:dyDescent="0.2">
      <c r="B116" s="86"/>
      <c r="C116" s="89"/>
      <c r="D116" s="79"/>
      <c r="E116" s="79"/>
      <c r="F116" s="79"/>
      <c r="G116" s="81"/>
      <c r="H116" s="83"/>
      <c r="I116" s="15"/>
      <c r="J116" s="15"/>
      <c r="K116" s="102"/>
      <c r="L116" s="43">
        <v>2630731.92</v>
      </c>
      <c r="M116" s="14" t="s">
        <v>66</v>
      </c>
      <c r="N116" s="19" t="s">
        <v>283</v>
      </c>
      <c r="O116" s="13" t="s">
        <v>284</v>
      </c>
      <c r="P116" s="14">
        <v>1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8">
        <v>1</v>
      </c>
    </row>
    <row r="117" spans="2:30" ht="12.75" x14ac:dyDescent="0.2">
      <c r="B117" s="86"/>
      <c r="C117" s="89"/>
      <c r="D117" s="79"/>
      <c r="E117" s="79"/>
      <c r="F117" s="79"/>
      <c r="G117" s="81"/>
      <c r="H117" s="83"/>
      <c r="I117" s="15"/>
      <c r="J117" s="15"/>
      <c r="K117" s="102"/>
      <c r="L117" s="43">
        <v>2387490.96</v>
      </c>
      <c r="M117" s="14" t="s">
        <v>285</v>
      </c>
      <c r="N117" s="19" t="s">
        <v>286</v>
      </c>
      <c r="O117" s="13" t="s">
        <v>287</v>
      </c>
      <c r="P117" s="14">
        <v>25</v>
      </c>
      <c r="Q117" s="14">
        <v>2</v>
      </c>
      <c r="R117" s="14">
        <v>2</v>
      </c>
      <c r="S117" s="14">
        <v>2</v>
      </c>
      <c r="T117" s="14">
        <v>2</v>
      </c>
      <c r="U117" s="14">
        <v>2</v>
      </c>
      <c r="V117" s="14">
        <v>2</v>
      </c>
      <c r="W117" s="14">
        <v>2</v>
      </c>
      <c r="X117" s="14">
        <v>2</v>
      </c>
      <c r="Y117" s="14">
        <v>2</v>
      </c>
      <c r="Z117" s="14">
        <v>2</v>
      </c>
      <c r="AA117" s="14">
        <v>2</v>
      </c>
      <c r="AB117" s="18">
        <v>3</v>
      </c>
    </row>
    <row r="118" spans="2:30" ht="12.75" x14ac:dyDescent="0.2">
      <c r="B118" s="86"/>
      <c r="C118" s="89"/>
      <c r="D118" s="79"/>
      <c r="E118" s="79"/>
      <c r="F118" s="79"/>
      <c r="G118" s="81"/>
      <c r="H118" s="83"/>
      <c r="I118" s="15"/>
      <c r="J118" s="15"/>
      <c r="K118" s="102"/>
      <c r="L118" s="43">
        <v>9477.6</v>
      </c>
      <c r="M118" s="14" t="s">
        <v>288</v>
      </c>
      <c r="N118" s="19" t="s">
        <v>289</v>
      </c>
      <c r="O118" s="13" t="s">
        <v>287</v>
      </c>
      <c r="P118" s="14">
        <v>25</v>
      </c>
      <c r="Q118" s="14">
        <v>2</v>
      </c>
      <c r="R118" s="14">
        <v>2</v>
      </c>
      <c r="S118" s="14">
        <v>2</v>
      </c>
      <c r="T118" s="14">
        <v>2</v>
      </c>
      <c r="U118" s="14">
        <v>2</v>
      </c>
      <c r="V118" s="14">
        <v>2</v>
      </c>
      <c r="W118" s="14">
        <v>2</v>
      </c>
      <c r="X118" s="14">
        <v>2</v>
      </c>
      <c r="Y118" s="14">
        <v>2</v>
      </c>
      <c r="Z118" s="14">
        <v>2</v>
      </c>
      <c r="AA118" s="14">
        <v>2</v>
      </c>
      <c r="AB118" s="18">
        <v>3</v>
      </c>
    </row>
    <row r="119" spans="2:30" ht="25.5" x14ac:dyDescent="0.2">
      <c r="B119" s="86"/>
      <c r="C119" s="89"/>
      <c r="D119" s="79"/>
      <c r="E119" s="79"/>
      <c r="F119" s="79"/>
      <c r="G119" s="81"/>
      <c r="H119" s="83"/>
      <c r="I119" s="15"/>
      <c r="J119" s="15"/>
      <c r="K119" s="101"/>
      <c r="L119" s="43">
        <v>9609801.6399999987</v>
      </c>
      <c r="M119" s="14" t="s">
        <v>75</v>
      </c>
      <c r="N119" s="19" t="s">
        <v>269</v>
      </c>
      <c r="O119" s="13" t="s">
        <v>290</v>
      </c>
      <c r="P119" s="14">
        <v>12</v>
      </c>
      <c r="Q119" s="14">
        <v>1</v>
      </c>
      <c r="R119" s="14">
        <v>1</v>
      </c>
      <c r="S119" s="14">
        <v>1</v>
      </c>
      <c r="T119" s="14">
        <v>1</v>
      </c>
      <c r="U119" s="14">
        <v>1</v>
      </c>
      <c r="V119" s="14">
        <v>1</v>
      </c>
      <c r="W119" s="14">
        <v>1</v>
      </c>
      <c r="X119" s="14">
        <v>1</v>
      </c>
      <c r="Y119" s="14">
        <v>1</v>
      </c>
      <c r="Z119" s="14">
        <v>1</v>
      </c>
      <c r="AA119" s="14">
        <v>1</v>
      </c>
      <c r="AB119" s="18">
        <v>1</v>
      </c>
    </row>
    <row r="120" spans="2:30" ht="12.75" x14ac:dyDescent="0.2">
      <c r="B120" s="86"/>
      <c r="C120" s="89"/>
      <c r="D120" s="79"/>
      <c r="E120" s="79">
        <v>51</v>
      </c>
      <c r="F120" s="79" t="s">
        <v>778</v>
      </c>
      <c r="G120" s="81" t="s">
        <v>241</v>
      </c>
      <c r="H120" s="83" t="s">
        <v>291</v>
      </c>
      <c r="I120" s="15"/>
      <c r="J120" s="15"/>
      <c r="K120" s="100">
        <f>SUM(L120:L124)</f>
        <v>4630503.84</v>
      </c>
      <c r="L120" s="43">
        <v>4038239.27</v>
      </c>
      <c r="M120" s="14" t="s">
        <v>243</v>
      </c>
      <c r="N120" s="19" t="s">
        <v>141</v>
      </c>
      <c r="O120" s="13" t="s">
        <v>255</v>
      </c>
      <c r="P120" s="14">
        <v>25</v>
      </c>
      <c r="Q120" s="14">
        <v>2</v>
      </c>
      <c r="R120" s="14">
        <v>2</v>
      </c>
      <c r="S120" s="14">
        <v>2</v>
      </c>
      <c r="T120" s="14">
        <v>2</v>
      </c>
      <c r="U120" s="14">
        <v>2</v>
      </c>
      <c r="V120" s="14">
        <v>2</v>
      </c>
      <c r="W120" s="14">
        <v>2</v>
      </c>
      <c r="X120" s="14">
        <v>2</v>
      </c>
      <c r="Y120" s="14">
        <v>2</v>
      </c>
      <c r="Z120" s="14">
        <v>2</v>
      </c>
      <c r="AA120" s="14">
        <v>2</v>
      </c>
      <c r="AB120" s="18">
        <v>3</v>
      </c>
      <c r="AC120" s="30"/>
      <c r="AD120" s="33"/>
    </row>
    <row r="121" spans="2:30" ht="38.25" x14ac:dyDescent="0.2">
      <c r="B121" s="86"/>
      <c r="C121" s="89"/>
      <c r="D121" s="79"/>
      <c r="E121" s="79"/>
      <c r="F121" s="79"/>
      <c r="G121" s="81"/>
      <c r="H121" s="83"/>
      <c r="I121" s="15"/>
      <c r="J121" s="15"/>
      <c r="K121" s="102"/>
      <c r="L121" s="43">
        <v>12020.8</v>
      </c>
      <c r="M121" s="14" t="s">
        <v>244</v>
      </c>
      <c r="N121" s="19" t="s">
        <v>292</v>
      </c>
      <c r="O121" s="13" t="s">
        <v>293</v>
      </c>
      <c r="P121" s="14">
        <v>4</v>
      </c>
      <c r="Q121" s="14"/>
      <c r="R121" s="14"/>
      <c r="S121" s="14">
        <v>1</v>
      </c>
      <c r="T121" s="14"/>
      <c r="U121" s="14"/>
      <c r="V121" s="14">
        <v>1</v>
      </c>
      <c r="W121" s="14"/>
      <c r="X121" s="14"/>
      <c r="Y121" s="14">
        <v>1</v>
      </c>
      <c r="Z121" s="14"/>
      <c r="AA121" s="14"/>
      <c r="AB121" s="18">
        <v>1</v>
      </c>
    </row>
    <row r="122" spans="2:30" ht="12.75" x14ac:dyDescent="0.2">
      <c r="B122" s="86"/>
      <c r="C122" s="89"/>
      <c r="D122" s="79"/>
      <c r="E122" s="79"/>
      <c r="F122" s="79"/>
      <c r="G122" s="81"/>
      <c r="H122" s="83"/>
      <c r="I122" s="15"/>
      <c r="J122" s="15"/>
      <c r="K122" s="102"/>
      <c r="L122" s="43">
        <v>12020.81</v>
      </c>
      <c r="M122" s="14" t="s">
        <v>247</v>
      </c>
      <c r="N122" s="19" t="s">
        <v>294</v>
      </c>
      <c r="O122" s="13" t="s">
        <v>295</v>
      </c>
      <c r="P122" s="14">
        <v>1</v>
      </c>
      <c r="Q122" s="14"/>
      <c r="R122" s="14"/>
      <c r="S122" s="14">
        <v>1</v>
      </c>
      <c r="T122" s="14"/>
      <c r="U122" s="14"/>
      <c r="V122" s="14"/>
      <c r="W122" s="14"/>
      <c r="X122" s="14"/>
      <c r="Y122" s="14"/>
      <c r="Z122" s="14"/>
      <c r="AA122" s="14"/>
      <c r="AB122" s="18"/>
    </row>
    <row r="123" spans="2:30" ht="25.5" x14ac:dyDescent="0.2">
      <c r="B123" s="86"/>
      <c r="C123" s="89"/>
      <c r="D123" s="79"/>
      <c r="E123" s="79"/>
      <c r="F123" s="79"/>
      <c r="G123" s="81"/>
      <c r="H123" s="83"/>
      <c r="I123" s="15"/>
      <c r="J123" s="15"/>
      <c r="K123" s="102"/>
      <c r="L123" s="43">
        <v>12020.8</v>
      </c>
      <c r="M123" s="14" t="s">
        <v>296</v>
      </c>
      <c r="N123" s="19" t="s">
        <v>297</v>
      </c>
      <c r="O123" s="13" t="s">
        <v>298</v>
      </c>
      <c r="P123" s="14">
        <v>4</v>
      </c>
      <c r="Q123" s="14"/>
      <c r="R123" s="14"/>
      <c r="S123" s="14">
        <v>1</v>
      </c>
      <c r="T123" s="14"/>
      <c r="U123" s="14"/>
      <c r="V123" s="14">
        <v>1</v>
      </c>
      <c r="W123" s="14"/>
      <c r="X123" s="14"/>
      <c r="Y123" s="14">
        <v>1</v>
      </c>
      <c r="Z123" s="14"/>
      <c r="AA123" s="14"/>
      <c r="AB123" s="18">
        <v>1</v>
      </c>
    </row>
    <row r="124" spans="2:30" ht="12.75" x14ac:dyDescent="0.2">
      <c r="B124" s="86"/>
      <c r="C124" s="89"/>
      <c r="D124" s="79"/>
      <c r="E124" s="79"/>
      <c r="F124" s="79"/>
      <c r="G124" s="81"/>
      <c r="H124" s="83"/>
      <c r="I124" s="15"/>
      <c r="J124" s="15"/>
      <c r="K124" s="101"/>
      <c r="L124" s="43">
        <v>556202.15999999992</v>
      </c>
      <c r="M124" s="14" t="s">
        <v>299</v>
      </c>
      <c r="N124" s="19" t="s">
        <v>300</v>
      </c>
      <c r="O124" s="13" t="s">
        <v>301</v>
      </c>
      <c r="P124" s="14">
        <v>4</v>
      </c>
      <c r="Q124" s="14"/>
      <c r="R124" s="14"/>
      <c r="S124" s="14">
        <v>1</v>
      </c>
      <c r="T124" s="14"/>
      <c r="U124" s="14"/>
      <c r="V124" s="14">
        <v>1</v>
      </c>
      <c r="W124" s="14"/>
      <c r="X124" s="14"/>
      <c r="Y124" s="14">
        <v>1</v>
      </c>
      <c r="Z124" s="14"/>
      <c r="AA124" s="14"/>
      <c r="AB124" s="18">
        <v>1</v>
      </c>
    </row>
    <row r="125" spans="2:30" ht="12.75" x14ac:dyDescent="0.2">
      <c r="B125" s="86"/>
      <c r="C125" s="89"/>
      <c r="D125" s="79"/>
      <c r="E125" s="79">
        <v>67</v>
      </c>
      <c r="F125" s="79" t="s">
        <v>779</v>
      </c>
      <c r="G125" s="81" t="s">
        <v>302</v>
      </c>
      <c r="H125" s="83" t="s">
        <v>303</v>
      </c>
      <c r="I125" s="15"/>
      <c r="J125" s="15"/>
      <c r="K125" s="100">
        <f>SUM(L125:L132)</f>
        <v>1335654.3500000003</v>
      </c>
      <c r="L125" s="43">
        <v>1269262.43</v>
      </c>
      <c r="M125" s="14" t="s">
        <v>304</v>
      </c>
      <c r="N125" s="19" t="s">
        <v>141</v>
      </c>
      <c r="O125" s="13" t="s">
        <v>255</v>
      </c>
      <c r="P125" s="14">
        <v>25</v>
      </c>
      <c r="Q125" s="14">
        <v>2</v>
      </c>
      <c r="R125" s="14">
        <v>2</v>
      </c>
      <c r="S125" s="14">
        <v>2</v>
      </c>
      <c r="T125" s="14">
        <v>2</v>
      </c>
      <c r="U125" s="14">
        <v>2</v>
      </c>
      <c r="V125" s="14">
        <v>2</v>
      </c>
      <c r="W125" s="14">
        <v>2</v>
      </c>
      <c r="X125" s="14">
        <v>2</v>
      </c>
      <c r="Y125" s="14">
        <v>2</v>
      </c>
      <c r="Z125" s="14">
        <v>2</v>
      </c>
      <c r="AA125" s="14">
        <v>2</v>
      </c>
      <c r="AB125" s="18">
        <v>3</v>
      </c>
    </row>
    <row r="126" spans="2:30" ht="25.5" x14ac:dyDescent="0.2">
      <c r="B126" s="86"/>
      <c r="C126" s="89"/>
      <c r="D126" s="79"/>
      <c r="E126" s="79"/>
      <c r="F126" s="79"/>
      <c r="G126" s="81"/>
      <c r="H126" s="83"/>
      <c r="I126" s="15"/>
      <c r="J126" s="15"/>
      <c r="K126" s="102"/>
      <c r="L126" s="43">
        <v>9484.56</v>
      </c>
      <c r="M126" s="14" t="s">
        <v>305</v>
      </c>
      <c r="N126" s="19" t="s">
        <v>306</v>
      </c>
      <c r="O126" s="13" t="s">
        <v>307</v>
      </c>
      <c r="P126" s="14">
        <v>12</v>
      </c>
      <c r="Q126" s="14">
        <v>1</v>
      </c>
      <c r="R126" s="14">
        <v>1</v>
      </c>
      <c r="S126" s="14">
        <v>1</v>
      </c>
      <c r="T126" s="14">
        <v>1</v>
      </c>
      <c r="U126" s="14">
        <v>1</v>
      </c>
      <c r="V126" s="14">
        <v>1</v>
      </c>
      <c r="W126" s="14">
        <v>1</v>
      </c>
      <c r="X126" s="14">
        <v>1</v>
      </c>
      <c r="Y126" s="14">
        <v>1</v>
      </c>
      <c r="Z126" s="14">
        <v>1</v>
      </c>
      <c r="AA126" s="14">
        <v>1</v>
      </c>
      <c r="AB126" s="18">
        <v>1</v>
      </c>
    </row>
    <row r="127" spans="2:30" ht="25.5" x14ac:dyDescent="0.2">
      <c r="B127" s="86"/>
      <c r="C127" s="89"/>
      <c r="D127" s="79"/>
      <c r="E127" s="79"/>
      <c r="F127" s="79"/>
      <c r="G127" s="81"/>
      <c r="H127" s="83"/>
      <c r="I127" s="15"/>
      <c r="J127" s="15"/>
      <c r="K127" s="102"/>
      <c r="L127" s="43">
        <v>9484.56</v>
      </c>
      <c r="M127" s="14" t="s">
        <v>308</v>
      </c>
      <c r="N127" s="19" t="s">
        <v>309</v>
      </c>
      <c r="O127" s="13" t="s">
        <v>310</v>
      </c>
      <c r="P127" s="14">
        <v>4</v>
      </c>
      <c r="Q127" s="14"/>
      <c r="R127" s="14"/>
      <c r="S127" s="14">
        <v>1</v>
      </c>
      <c r="T127" s="14"/>
      <c r="U127" s="14"/>
      <c r="V127" s="14">
        <v>1</v>
      </c>
      <c r="W127" s="14"/>
      <c r="X127" s="14"/>
      <c r="Y127" s="14">
        <v>1</v>
      </c>
      <c r="Z127" s="14"/>
      <c r="AA127" s="14"/>
      <c r="AB127" s="18">
        <v>1</v>
      </c>
    </row>
    <row r="128" spans="2:30" ht="25.5" x14ac:dyDescent="0.2">
      <c r="B128" s="86"/>
      <c r="C128" s="89"/>
      <c r="D128" s="79"/>
      <c r="E128" s="79"/>
      <c r="F128" s="79"/>
      <c r="G128" s="81"/>
      <c r="H128" s="83"/>
      <c r="I128" s="15"/>
      <c r="J128" s="15"/>
      <c r="K128" s="102"/>
      <c r="L128" s="43">
        <v>9484.56</v>
      </c>
      <c r="M128" s="14" t="s">
        <v>311</v>
      </c>
      <c r="N128" s="19" t="s">
        <v>312</v>
      </c>
      <c r="O128" s="13" t="s">
        <v>313</v>
      </c>
      <c r="P128" s="14">
        <v>13</v>
      </c>
      <c r="Q128" s="14">
        <v>1</v>
      </c>
      <c r="R128" s="14">
        <v>1</v>
      </c>
      <c r="S128" s="14">
        <v>1</v>
      </c>
      <c r="T128" s="14">
        <v>2</v>
      </c>
      <c r="U128" s="14">
        <v>1</v>
      </c>
      <c r="V128" s="14">
        <v>1</v>
      </c>
      <c r="W128" s="14">
        <v>1</v>
      </c>
      <c r="X128" s="14">
        <v>1</v>
      </c>
      <c r="Y128" s="14">
        <v>1</v>
      </c>
      <c r="Z128" s="14">
        <v>1</v>
      </c>
      <c r="AA128" s="14">
        <v>1</v>
      </c>
      <c r="AB128" s="18">
        <v>1</v>
      </c>
    </row>
    <row r="129" spans="2:28" ht="40.9" customHeight="1" x14ac:dyDescent="0.2">
      <c r="B129" s="86"/>
      <c r="C129" s="89"/>
      <c r="D129" s="79"/>
      <c r="E129" s="79"/>
      <c r="F129" s="79"/>
      <c r="G129" s="81"/>
      <c r="H129" s="83"/>
      <c r="I129" s="15"/>
      <c r="J129" s="15"/>
      <c r="K129" s="102"/>
      <c r="L129" s="43">
        <v>9484.56</v>
      </c>
      <c r="M129" s="14" t="s">
        <v>314</v>
      </c>
      <c r="N129" s="19" t="s">
        <v>315</v>
      </c>
      <c r="O129" s="13" t="s">
        <v>313</v>
      </c>
      <c r="P129" s="14">
        <v>4</v>
      </c>
      <c r="Q129" s="14"/>
      <c r="R129" s="14"/>
      <c r="S129" s="14">
        <v>1</v>
      </c>
      <c r="T129" s="14"/>
      <c r="U129" s="14"/>
      <c r="V129" s="14">
        <v>1</v>
      </c>
      <c r="W129" s="14"/>
      <c r="X129" s="14"/>
      <c r="Y129" s="14">
        <v>1</v>
      </c>
      <c r="Z129" s="14"/>
      <c r="AA129" s="14"/>
      <c r="AB129" s="18">
        <v>1</v>
      </c>
    </row>
    <row r="130" spans="2:28" ht="25.5" x14ac:dyDescent="0.2">
      <c r="B130" s="86"/>
      <c r="C130" s="89"/>
      <c r="D130" s="79"/>
      <c r="E130" s="79"/>
      <c r="F130" s="79"/>
      <c r="G130" s="81"/>
      <c r="H130" s="83"/>
      <c r="I130" s="15"/>
      <c r="J130" s="15"/>
      <c r="K130" s="102"/>
      <c r="L130" s="43">
        <v>9484.56</v>
      </c>
      <c r="M130" s="14" t="s">
        <v>316</v>
      </c>
      <c r="N130" s="19" t="s">
        <v>317</v>
      </c>
      <c r="O130" s="13" t="s">
        <v>318</v>
      </c>
      <c r="P130" s="14">
        <v>7</v>
      </c>
      <c r="Q130" s="14"/>
      <c r="R130" s="14"/>
      <c r="S130" s="14">
        <v>1</v>
      </c>
      <c r="T130" s="14">
        <v>1</v>
      </c>
      <c r="U130" s="14"/>
      <c r="V130" s="14">
        <v>2</v>
      </c>
      <c r="W130" s="14"/>
      <c r="X130" s="14">
        <v>1</v>
      </c>
      <c r="Y130" s="14">
        <v>1</v>
      </c>
      <c r="Z130" s="14"/>
      <c r="AA130" s="14"/>
      <c r="AB130" s="18">
        <v>1</v>
      </c>
    </row>
    <row r="131" spans="2:28" ht="25.5" x14ac:dyDescent="0.2">
      <c r="B131" s="86"/>
      <c r="C131" s="89"/>
      <c r="D131" s="79"/>
      <c r="E131" s="79"/>
      <c r="F131" s="79"/>
      <c r="G131" s="81"/>
      <c r="H131" s="83"/>
      <c r="I131" s="15"/>
      <c r="J131" s="15"/>
      <c r="K131" s="102"/>
      <c r="L131" s="43">
        <v>9484.56</v>
      </c>
      <c r="M131" s="14" t="s">
        <v>319</v>
      </c>
      <c r="N131" s="19" t="s">
        <v>320</v>
      </c>
      <c r="O131" s="13" t="s">
        <v>321</v>
      </c>
      <c r="P131" s="14">
        <v>12</v>
      </c>
      <c r="Q131" s="14">
        <v>1</v>
      </c>
      <c r="R131" s="14">
        <v>1</v>
      </c>
      <c r="S131" s="14">
        <v>1</v>
      </c>
      <c r="T131" s="14">
        <v>1</v>
      </c>
      <c r="U131" s="14">
        <v>1</v>
      </c>
      <c r="V131" s="14">
        <v>1</v>
      </c>
      <c r="W131" s="14">
        <v>1</v>
      </c>
      <c r="X131" s="14">
        <v>1</v>
      </c>
      <c r="Y131" s="14">
        <v>1</v>
      </c>
      <c r="Z131" s="14">
        <v>1</v>
      </c>
      <c r="AA131" s="14">
        <v>1</v>
      </c>
      <c r="AB131" s="18">
        <v>1</v>
      </c>
    </row>
    <row r="132" spans="2:28" ht="25.5" x14ac:dyDescent="0.2">
      <c r="B132" s="86"/>
      <c r="C132" s="89"/>
      <c r="D132" s="79"/>
      <c r="E132" s="79"/>
      <c r="F132" s="79"/>
      <c r="G132" s="81"/>
      <c r="H132" s="83"/>
      <c r="I132" s="15"/>
      <c r="J132" s="15"/>
      <c r="K132" s="101"/>
      <c r="L132" s="43">
        <v>9484.56</v>
      </c>
      <c r="M132" s="14" t="s">
        <v>322</v>
      </c>
      <c r="N132" s="19" t="s">
        <v>323</v>
      </c>
      <c r="O132" s="13" t="s">
        <v>324</v>
      </c>
      <c r="P132" s="14">
        <v>12</v>
      </c>
      <c r="Q132" s="14">
        <v>1</v>
      </c>
      <c r="R132" s="14">
        <v>1</v>
      </c>
      <c r="S132" s="14">
        <v>1</v>
      </c>
      <c r="T132" s="14">
        <v>1</v>
      </c>
      <c r="U132" s="14">
        <v>1</v>
      </c>
      <c r="V132" s="14">
        <v>1</v>
      </c>
      <c r="W132" s="14">
        <v>1</v>
      </c>
      <c r="X132" s="14">
        <v>1</v>
      </c>
      <c r="Y132" s="14">
        <v>1</v>
      </c>
      <c r="Z132" s="14">
        <v>1</v>
      </c>
      <c r="AA132" s="14">
        <v>1</v>
      </c>
      <c r="AB132" s="18">
        <v>1</v>
      </c>
    </row>
    <row r="133" spans="2:28" ht="12.75" x14ac:dyDescent="0.2">
      <c r="B133" s="86"/>
      <c r="C133" s="89"/>
      <c r="D133" s="79"/>
      <c r="E133" s="79">
        <v>52</v>
      </c>
      <c r="F133" s="79" t="s">
        <v>780</v>
      </c>
      <c r="G133" s="81" t="s">
        <v>325</v>
      </c>
      <c r="H133" s="83" t="s">
        <v>326</v>
      </c>
      <c r="I133" s="15"/>
      <c r="J133" s="15"/>
      <c r="K133" s="100">
        <f>SUM(L133:L137)</f>
        <v>1773331.6300000001</v>
      </c>
      <c r="L133" s="43">
        <v>1487904.6500000001</v>
      </c>
      <c r="M133" s="14" t="s">
        <v>327</v>
      </c>
      <c r="N133" s="19" t="s">
        <v>141</v>
      </c>
      <c r="O133" s="13" t="s">
        <v>255</v>
      </c>
      <c r="P133" s="14">
        <v>25</v>
      </c>
      <c r="Q133" s="14">
        <v>2</v>
      </c>
      <c r="R133" s="14">
        <v>2</v>
      </c>
      <c r="S133" s="14">
        <v>2</v>
      </c>
      <c r="T133" s="14">
        <v>2</v>
      </c>
      <c r="U133" s="14">
        <v>2</v>
      </c>
      <c r="V133" s="14">
        <v>2</v>
      </c>
      <c r="W133" s="14">
        <v>2</v>
      </c>
      <c r="X133" s="14">
        <v>2</v>
      </c>
      <c r="Y133" s="14">
        <v>2</v>
      </c>
      <c r="Z133" s="14">
        <v>2</v>
      </c>
      <c r="AA133" s="14">
        <v>2</v>
      </c>
      <c r="AB133" s="18">
        <v>3</v>
      </c>
    </row>
    <row r="134" spans="2:28" ht="25.5" x14ac:dyDescent="0.2">
      <c r="B134" s="86"/>
      <c r="C134" s="89"/>
      <c r="D134" s="79"/>
      <c r="E134" s="79"/>
      <c r="F134" s="79"/>
      <c r="G134" s="81"/>
      <c r="H134" s="83"/>
      <c r="I134" s="15"/>
      <c r="J134" s="15"/>
      <c r="K134" s="102"/>
      <c r="L134" s="43">
        <v>23600.760000000002</v>
      </c>
      <c r="M134" s="14" t="s">
        <v>328</v>
      </c>
      <c r="N134" s="19" t="s">
        <v>329</v>
      </c>
      <c r="O134" s="13" t="s">
        <v>330</v>
      </c>
      <c r="P134" s="14">
        <v>4</v>
      </c>
      <c r="Q134" s="14"/>
      <c r="R134" s="14"/>
      <c r="S134" s="14">
        <v>1</v>
      </c>
      <c r="T134" s="14"/>
      <c r="U134" s="14"/>
      <c r="V134" s="14">
        <v>1</v>
      </c>
      <c r="W134" s="14"/>
      <c r="X134" s="14"/>
      <c r="Y134" s="14">
        <v>1</v>
      </c>
      <c r="Z134" s="14"/>
      <c r="AA134" s="14"/>
      <c r="AB134" s="18">
        <v>1</v>
      </c>
    </row>
    <row r="135" spans="2:28" ht="25.5" x14ac:dyDescent="0.2">
      <c r="B135" s="86"/>
      <c r="C135" s="89"/>
      <c r="D135" s="79"/>
      <c r="E135" s="79"/>
      <c r="F135" s="79"/>
      <c r="G135" s="81"/>
      <c r="H135" s="83"/>
      <c r="I135" s="15"/>
      <c r="J135" s="15"/>
      <c r="K135" s="102"/>
      <c r="L135" s="43">
        <v>23600.760000000002</v>
      </c>
      <c r="M135" s="14" t="s">
        <v>331</v>
      </c>
      <c r="N135" s="19" t="s">
        <v>332</v>
      </c>
      <c r="O135" s="13" t="s">
        <v>333</v>
      </c>
      <c r="P135" s="14">
        <v>4</v>
      </c>
      <c r="Q135" s="14"/>
      <c r="R135" s="14"/>
      <c r="S135" s="14">
        <v>1</v>
      </c>
      <c r="T135" s="14"/>
      <c r="U135" s="14"/>
      <c r="V135" s="14">
        <v>1</v>
      </c>
      <c r="W135" s="14"/>
      <c r="X135" s="14"/>
      <c r="Y135" s="14">
        <v>1</v>
      </c>
      <c r="Z135" s="14"/>
      <c r="AA135" s="14"/>
      <c r="AB135" s="18">
        <v>1</v>
      </c>
    </row>
    <row r="136" spans="2:28" ht="38.25" x14ac:dyDescent="0.2">
      <c r="B136" s="86"/>
      <c r="C136" s="89"/>
      <c r="D136" s="79"/>
      <c r="E136" s="79"/>
      <c r="F136" s="79"/>
      <c r="G136" s="81"/>
      <c r="H136" s="83"/>
      <c r="I136" s="15"/>
      <c r="J136" s="15"/>
      <c r="K136" s="102"/>
      <c r="L136" s="43">
        <v>23600.78</v>
      </c>
      <c r="M136" s="14" t="s">
        <v>334</v>
      </c>
      <c r="N136" s="19" t="s">
        <v>335</v>
      </c>
      <c r="O136" s="13" t="s">
        <v>336</v>
      </c>
      <c r="P136" s="14">
        <v>1</v>
      </c>
      <c r="Q136" s="14"/>
      <c r="R136" s="14"/>
      <c r="S136" s="14"/>
      <c r="T136" s="14">
        <v>1</v>
      </c>
      <c r="U136" s="14"/>
      <c r="V136" s="14"/>
      <c r="W136" s="14"/>
      <c r="X136" s="14"/>
      <c r="Y136" s="14"/>
      <c r="Z136" s="14"/>
      <c r="AA136" s="14"/>
      <c r="AB136" s="18"/>
    </row>
    <row r="137" spans="2:28" ht="38.25" x14ac:dyDescent="0.2">
      <c r="B137" s="86"/>
      <c r="C137" s="89"/>
      <c r="D137" s="79"/>
      <c r="E137" s="79"/>
      <c r="F137" s="79"/>
      <c r="G137" s="81"/>
      <c r="H137" s="83"/>
      <c r="I137" s="15"/>
      <c r="J137" s="15"/>
      <c r="K137" s="101"/>
      <c r="L137" s="43">
        <v>214624.68000000002</v>
      </c>
      <c r="M137" s="14" t="s">
        <v>337</v>
      </c>
      <c r="N137" s="19" t="s">
        <v>338</v>
      </c>
      <c r="O137" s="13" t="s">
        <v>339</v>
      </c>
      <c r="P137" s="14">
        <v>23</v>
      </c>
      <c r="Q137" s="14">
        <v>2</v>
      </c>
      <c r="R137" s="14">
        <v>2</v>
      </c>
      <c r="S137" s="14">
        <v>2</v>
      </c>
      <c r="T137" s="14">
        <v>2</v>
      </c>
      <c r="U137" s="14">
        <v>2</v>
      </c>
      <c r="V137" s="14">
        <v>2</v>
      </c>
      <c r="W137" s="14">
        <v>2</v>
      </c>
      <c r="X137" s="14">
        <v>2</v>
      </c>
      <c r="Y137" s="14">
        <v>2</v>
      </c>
      <c r="Z137" s="14">
        <v>2</v>
      </c>
      <c r="AA137" s="14">
        <v>2</v>
      </c>
      <c r="AB137" s="18">
        <v>1</v>
      </c>
    </row>
    <row r="138" spans="2:28" ht="12.75" x14ac:dyDescent="0.2">
      <c r="B138" s="86"/>
      <c r="C138" s="89"/>
      <c r="D138" s="79"/>
      <c r="E138" s="79">
        <v>53</v>
      </c>
      <c r="F138" s="79" t="s">
        <v>781</v>
      </c>
      <c r="G138" s="81" t="s">
        <v>340</v>
      </c>
      <c r="H138" s="83" t="s">
        <v>341</v>
      </c>
      <c r="I138" s="15"/>
      <c r="J138" s="15"/>
      <c r="K138" s="100">
        <f>SUM(L138:L141)</f>
        <v>2748350.55</v>
      </c>
      <c r="L138" s="43">
        <v>2647835.5</v>
      </c>
      <c r="M138" s="14" t="s">
        <v>342</v>
      </c>
      <c r="N138" s="19" t="s">
        <v>141</v>
      </c>
      <c r="O138" s="13" t="s">
        <v>255</v>
      </c>
      <c r="P138" s="14">
        <v>25</v>
      </c>
      <c r="Q138" s="14">
        <v>2</v>
      </c>
      <c r="R138" s="14">
        <v>2</v>
      </c>
      <c r="S138" s="14">
        <v>2</v>
      </c>
      <c r="T138" s="14">
        <v>2</v>
      </c>
      <c r="U138" s="14">
        <v>2</v>
      </c>
      <c r="V138" s="14">
        <v>2</v>
      </c>
      <c r="W138" s="14">
        <v>2</v>
      </c>
      <c r="X138" s="14">
        <v>2</v>
      </c>
      <c r="Y138" s="14">
        <v>2</v>
      </c>
      <c r="Z138" s="14">
        <v>2</v>
      </c>
      <c r="AA138" s="14">
        <v>2</v>
      </c>
      <c r="AB138" s="18">
        <v>3</v>
      </c>
    </row>
    <row r="139" spans="2:28" ht="51" x14ac:dyDescent="0.2">
      <c r="B139" s="86"/>
      <c r="C139" s="89"/>
      <c r="D139" s="79"/>
      <c r="E139" s="79"/>
      <c r="F139" s="79"/>
      <c r="G139" s="81"/>
      <c r="H139" s="83"/>
      <c r="I139" s="15"/>
      <c r="J139" s="15"/>
      <c r="K139" s="102"/>
      <c r="L139" s="43">
        <v>33505.050000000003</v>
      </c>
      <c r="M139" s="14" t="s">
        <v>343</v>
      </c>
      <c r="N139" s="19" t="s">
        <v>344</v>
      </c>
      <c r="O139" s="13" t="s">
        <v>345</v>
      </c>
      <c r="P139" s="14">
        <v>3</v>
      </c>
      <c r="Q139" s="14"/>
      <c r="R139" s="14"/>
      <c r="S139" s="14">
        <v>1</v>
      </c>
      <c r="T139" s="14"/>
      <c r="U139" s="14"/>
      <c r="V139" s="14"/>
      <c r="W139" s="14">
        <v>1</v>
      </c>
      <c r="X139" s="14"/>
      <c r="Y139" s="14"/>
      <c r="Z139" s="14"/>
      <c r="AA139" s="14"/>
      <c r="AB139" s="18">
        <v>1</v>
      </c>
    </row>
    <row r="140" spans="2:28" ht="38.25" x14ac:dyDescent="0.2">
      <c r="B140" s="86"/>
      <c r="C140" s="89"/>
      <c r="D140" s="79"/>
      <c r="E140" s="79"/>
      <c r="F140" s="79"/>
      <c r="G140" s="81"/>
      <c r="H140" s="83"/>
      <c r="I140" s="15"/>
      <c r="J140" s="15"/>
      <c r="K140" s="102"/>
      <c r="L140" s="43">
        <v>33504.959999999999</v>
      </c>
      <c r="M140" s="14" t="s">
        <v>346</v>
      </c>
      <c r="N140" s="19" t="s">
        <v>347</v>
      </c>
      <c r="O140" s="13" t="s">
        <v>348</v>
      </c>
      <c r="P140" s="14">
        <v>120</v>
      </c>
      <c r="Q140" s="14"/>
      <c r="R140" s="14">
        <v>20</v>
      </c>
      <c r="S140" s="14"/>
      <c r="T140" s="14"/>
      <c r="U140" s="14"/>
      <c r="V140" s="14"/>
      <c r="W140" s="14"/>
      <c r="X140" s="14"/>
      <c r="Y140" s="14">
        <v>40</v>
      </c>
      <c r="Z140" s="14"/>
      <c r="AA140" s="14"/>
      <c r="AB140" s="18">
        <v>60</v>
      </c>
    </row>
    <row r="141" spans="2:28" ht="25.5" x14ac:dyDescent="0.2">
      <c r="B141" s="86"/>
      <c r="C141" s="89"/>
      <c r="D141" s="79"/>
      <c r="E141" s="79"/>
      <c r="F141" s="79"/>
      <c r="G141" s="81"/>
      <c r="H141" s="83"/>
      <c r="I141" s="15"/>
      <c r="J141" s="15"/>
      <c r="K141" s="101"/>
      <c r="L141" s="43">
        <v>33505.040000000001</v>
      </c>
      <c r="M141" s="14" t="s">
        <v>349</v>
      </c>
      <c r="N141" s="19" t="s">
        <v>350</v>
      </c>
      <c r="O141" s="13" t="s">
        <v>351</v>
      </c>
      <c r="P141" s="14">
        <v>2</v>
      </c>
      <c r="Q141" s="14"/>
      <c r="R141" s="14"/>
      <c r="S141" s="14"/>
      <c r="T141" s="14">
        <v>1</v>
      </c>
      <c r="U141" s="14"/>
      <c r="V141" s="14"/>
      <c r="W141" s="14"/>
      <c r="X141" s="14"/>
      <c r="Y141" s="14">
        <v>1</v>
      </c>
      <c r="Z141" s="14"/>
      <c r="AA141" s="14"/>
      <c r="AB141" s="18"/>
    </row>
    <row r="142" spans="2:28" ht="12.75" x14ac:dyDescent="0.2">
      <c r="B142" s="86"/>
      <c r="C142" s="89"/>
      <c r="D142" s="79"/>
      <c r="E142" s="79">
        <v>54</v>
      </c>
      <c r="F142" s="79" t="s">
        <v>782</v>
      </c>
      <c r="G142" s="81" t="s">
        <v>352</v>
      </c>
      <c r="H142" s="83" t="s">
        <v>353</v>
      </c>
      <c r="I142" s="15"/>
      <c r="J142" s="15"/>
      <c r="K142" s="100">
        <f>SUM(L142:L145)</f>
        <v>2586063.14</v>
      </c>
      <c r="L142" s="43">
        <v>2558163.14</v>
      </c>
      <c r="M142" s="14" t="s">
        <v>354</v>
      </c>
      <c r="N142" s="19" t="s">
        <v>141</v>
      </c>
      <c r="O142" s="13" t="s">
        <v>255</v>
      </c>
      <c r="P142" s="14">
        <v>25</v>
      </c>
      <c r="Q142" s="14">
        <v>2</v>
      </c>
      <c r="R142" s="14">
        <v>2</v>
      </c>
      <c r="S142" s="14">
        <v>2</v>
      </c>
      <c r="T142" s="14">
        <v>2</v>
      </c>
      <c r="U142" s="14">
        <v>2</v>
      </c>
      <c r="V142" s="14">
        <v>2</v>
      </c>
      <c r="W142" s="14">
        <v>2</v>
      </c>
      <c r="X142" s="14">
        <v>2</v>
      </c>
      <c r="Y142" s="14">
        <v>2</v>
      </c>
      <c r="Z142" s="14">
        <v>2</v>
      </c>
      <c r="AA142" s="14">
        <v>2</v>
      </c>
      <c r="AB142" s="18">
        <v>3</v>
      </c>
    </row>
    <row r="143" spans="2:28" ht="38.25" x14ac:dyDescent="0.2">
      <c r="B143" s="86"/>
      <c r="C143" s="89"/>
      <c r="D143" s="79"/>
      <c r="E143" s="79"/>
      <c r="F143" s="79"/>
      <c r="G143" s="81"/>
      <c r="H143" s="83"/>
      <c r="I143" s="15"/>
      <c r="J143" s="15"/>
      <c r="K143" s="102"/>
      <c r="L143" s="43">
        <v>9300</v>
      </c>
      <c r="M143" s="14" t="s">
        <v>355</v>
      </c>
      <c r="N143" s="19" t="s">
        <v>356</v>
      </c>
      <c r="O143" s="13" t="s">
        <v>357</v>
      </c>
      <c r="P143" s="14">
        <v>2</v>
      </c>
      <c r="Q143" s="14"/>
      <c r="R143" s="14"/>
      <c r="S143" s="14"/>
      <c r="T143" s="14"/>
      <c r="U143" s="14"/>
      <c r="V143" s="14">
        <v>1</v>
      </c>
      <c r="W143" s="14"/>
      <c r="X143" s="14"/>
      <c r="Y143" s="14"/>
      <c r="Z143" s="14"/>
      <c r="AA143" s="14"/>
      <c r="AB143" s="18">
        <v>1</v>
      </c>
    </row>
    <row r="144" spans="2:28" ht="25.5" x14ac:dyDescent="0.2">
      <c r="B144" s="86"/>
      <c r="C144" s="89"/>
      <c r="D144" s="79"/>
      <c r="E144" s="79"/>
      <c r="F144" s="79"/>
      <c r="G144" s="81"/>
      <c r="H144" s="83"/>
      <c r="I144" s="15"/>
      <c r="J144" s="15"/>
      <c r="K144" s="102"/>
      <c r="L144" s="43">
        <v>9300</v>
      </c>
      <c r="M144" s="14" t="s">
        <v>358</v>
      </c>
      <c r="N144" s="19" t="s">
        <v>359</v>
      </c>
      <c r="O144" s="13" t="s">
        <v>360</v>
      </c>
      <c r="P144" s="14">
        <v>4</v>
      </c>
      <c r="Q144" s="14"/>
      <c r="R144" s="14"/>
      <c r="S144" s="14">
        <v>1</v>
      </c>
      <c r="T144" s="14"/>
      <c r="U144" s="14"/>
      <c r="V144" s="14">
        <v>1</v>
      </c>
      <c r="W144" s="14"/>
      <c r="X144" s="14"/>
      <c r="Y144" s="14">
        <v>1</v>
      </c>
      <c r="Z144" s="14"/>
      <c r="AA144" s="14"/>
      <c r="AB144" s="18">
        <v>1</v>
      </c>
    </row>
    <row r="145" spans="2:28" ht="25.5" x14ac:dyDescent="0.2">
      <c r="B145" s="86"/>
      <c r="C145" s="89"/>
      <c r="D145" s="79"/>
      <c r="E145" s="79"/>
      <c r="F145" s="79"/>
      <c r="G145" s="81"/>
      <c r="H145" s="83"/>
      <c r="I145" s="15"/>
      <c r="J145" s="15"/>
      <c r="K145" s="101"/>
      <c r="L145" s="43">
        <v>9300</v>
      </c>
      <c r="M145" s="14" t="s">
        <v>361</v>
      </c>
      <c r="N145" s="19" t="s">
        <v>362</v>
      </c>
      <c r="O145" s="13" t="s">
        <v>363</v>
      </c>
      <c r="P145" s="14">
        <v>4</v>
      </c>
      <c r="Q145" s="14"/>
      <c r="R145" s="14"/>
      <c r="S145" s="14">
        <v>1</v>
      </c>
      <c r="T145" s="14"/>
      <c r="U145" s="14"/>
      <c r="V145" s="14">
        <v>1</v>
      </c>
      <c r="W145" s="14"/>
      <c r="X145" s="14"/>
      <c r="Y145" s="14">
        <v>1</v>
      </c>
      <c r="Z145" s="14"/>
      <c r="AA145" s="14"/>
      <c r="AB145" s="18">
        <v>1</v>
      </c>
    </row>
    <row r="146" spans="2:28" ht="12.75" x14ac:dyDescent="0.2">
      <c r="B146" s="86"/>
      <c r="C146" s="89"/>
      <c r="D146" s="79"/>
      <c r="E146" s="79">
        <v>68</v>
      </c>
      <c r="F146" s="79" t="s">
        <v>783</v>
      </c>
      <c r="G146" s="81" t="s">
        <v>364</v>
      </c>
      <c r="H146" s="83" t="s">
        <v>365</v>
      </c>
      <c r="I146" s="15"/>
      <c r="J146" s="15"/>
      <c r="K146" s="100">
        <f>SUM(L146:L148)</f>
        <v>728137.48</v>
      </c>
      <c r="L146" s="43">
        <v>674132.04</v>
      </c>
      <c r="M146" s="53" t="s">
        <v>366</v>
      </c>
      <c r="N146" s="19" t="s">
        <v>141</v>
      </c>
      <c r="O146" s="13" t="s">
        <v>255</v>
      </c>
      <c r="P146" s="14">
        <v>25</v>
      </c>
      <c r="Q146" s="14">
        <v>2</v>
      </c>
      <c r="R146" s="14">
        <v>2</v>
      </c>
      <c r="S146" s="14">
        <v>2</v>
      </c>
      <c r="T146" s="14">
        <v>2</v>
      </c>
      <c r="U146" s="14">
        <v>2</v>
      </c>
      <c r="V146" s="14">
        <v>2</v>
      </c>
      <c r="W146" s="14">
        <v>2</v>
      </c>
      <c r="X146" s="14">
        <v>2</v>
      </c>
      <c r="Y146" s="14">
        <v>2</v>
      </c>
      <c r="Z146" s="14">
        <v>2</v>
      </c>
      <c r="AA146" s="14">
        <v>2</v>
      </c>
      <c r="AB146" s="18">
        <v>3</v>
      </c>
    </row>
    <row r="147" spans="2:28" ht="51" x14ac:dyDescent="0.2">
      <c r="B147" s="86"/>
      <c r="C147" s="89"/>
      <c r="D147" s="79"/>
      <c r="E147" s="79"/>
      <c r="F147" s="79"/>
      <c r="G147" s="81"/>
      <c r="H147" s="83"/>
      <c r="I147" s="15"/>
      <c r="J147" s="15"/>
      <c r="K147" s="102"/>
      <c r="L147" s="43">
        <v>43497.72</v>
      </c>
      <c r="M147" s="53" t="s">
        <v>367</v>
      </c>
      <c r="N147" s="19" t="s">
        <v>368</v>
      </c>
      <c r="O147" s="13" t="s">
        <v>369</v>
      </c>
      <c r="P147" s="14">
        <v>2</v>
      </c>
      <c r="Q147" s="14"/>
      <c r="R147" s="14"/>
      <c r="S147" s="14"/>
      <c r="T147" s="14"/>
      <c r="U147" s="14"/>
      <c r="V147" s="14"/>
      <c r="W147" s="14">
        <v>1</v>
      </c>
      <c r="X147" s="14"/>
      <c r="Y147" s="14"/>
      <c r="Z147" s="14"/>
      <c r="AA147" s="14"/>
      <c r="AB147" s="18">
        <v>1</v>
      </c>
    </row>
    <row r="148" spans="2:28" ht="25.5" x14ac:dyDescent="0.2">
      <c r="B148" s="86"/>
      <c r="C148" s="89"/>
      <c r="D148" s="79"/>
      <c r="E148" s="79"/>
      <c r="F148" s="79"/>
      <c r="G148" s="81"/>
      <c r="H148" s="83"/>
      <c r="I148" s="15"/>
      <c r="J148" s="15"/>
      <c r="K148" s="101"/>
      <c r="L148" s="43">
        <v>10507.720000000001</v>
      </c>
      <c r="M148" s="53" t="s">
        <v>370</v>
      </c>
      <c r="N148" s="19" t="s">
        <v>371</v>
      </c>
      <c r="O148" s="13" t="s">
        <v>372</v>
      </c>
      <c r="P148" s="14">
        <v>4</v>
      </c>
      <c r="Q148" s="14"/>
      <c r="R148" s="14"/>
      <c r="S148" s="14">
        <v>1</v>
      </c>
      <c r="T148" s="14"/>
      <c r="U148" s="14"/>
      <c r="V148" s="14">
        <v>1</v>
      </c>
      <c r="W148" s="14"/>
      <c r="X148" s="14"/>
      <c r="Y148" s="14">
        <v>1</v>
      </c>
      <c r="Z148" s="14"/>
      <c r="AA148" s="14"/>
      <c r="AB148" s="18">
        <v>1</v>
      </c>
    </row>
    <row r="149" spans="2:28" ht="12.75" x14ac:dyDescent="0.2">
      <c r="B149" s="86"/>
      <c r="C149" s="89"/>
      <c r="D149" s="79"/>
      <c r="E149" s="79">
        <v>70</v>
      </c>
      <c r="F149" s="79" t="s">
        <v>784</v>
      </c>
      <c r="G149" s="81" t="s">
        <v>373</v>
      </c>
      <c r="H149" s="83" t="s">
        <v>374</v>
      </c>
      <c r="I149" s="15"/>
      <c r="J149" s="15"/>
      <c r="K149" s="100">
        <f>SUM(L149:L151)</f>
        <v>533580.31000000006</v>
      </c>
      <c r="L149" s="43">
        <v>497651.61</v>
      </c>
      <c r="M149" s="53" t="s">
        <v>375</v>
      </c>
      <c r="N149" s="19" t="s">
        <v>141</v>
      </c>
      <c r="O149" s="13" t="s">
        <v>255</v>
      </c>
      <c r="P149" s="14">
        <v>25</v>
      </c>
      <c r="Q149" s="14">
        <v>2</v>
      </c>
      <c r="R149" s="14">
        <v>2</v>
      </c>
      <c r="S149" s="14">
        <v>2</v>
      </c>
      <c r="T149" s="14">
        <v>2</v>
      </c>
      <c r="U149" s="14">
        <v>2</v>
      </c>
      <c r="V149" s="14">
        <v>2</v>
      </c>
      <c r="W149" s="14">
        <v>2</v>
      </c>
      <c r="X149" s="14">
        <v>2</v>
      </c>
      <c r="Y149" s="14">
        <v>2</v>
      </c>
      <c r="Z149" s="14">
        <v>2</v>
      </c>
      <c r="AA149" s="14">
        <v>2</v>
      </c>
      <c r="AB149" s="18">
        <v>3</v>
      </c>
    </row>
    <row r="150" spans="2:28" ht="51" x14ac:dyDescent="0.2">
      <c r="B150" s="86"/>
      <c r="C150" s="89"/>
      <c r="D150" s="79"/>
      <c r="E150" s="79"/>
      <c r="F150" s="79"/>
      <c r="G150" s="81"/>
      <c r="H150" s="83"/>
      <c r="I150" s="15"/>
      <c r="J150" s="15"/>
      <c r="K150" s="102"/>
      <c r="L150" s="43">
        <v>17964.34</v>
      </c>
      <c r="M150" s="53" t="s">
        <v>376</v>
      </c>
      <c r="N150" s="19" t="s">
        <v>377</v>
      </c>
      <c r="O150" s="13" t="s">
        <v>378</v>
      </c>
      <c r="P150" s="14">
        <v>2</v>
      </c>
      <c r="Q150" s="14"/>
      <c r="R150" s="14"/>
      <c r="S150" s="14"/>
      <c r="T150" s="14"/>
      <c r="U150" s="14"/>
      <c r="V150" s="14">
        <v>1</v>
      </c>
      <c r="W150" s="14"/>
      <c r="X150" s="14"/>
      <c r="Y150" s="14"/>
      <c r="Z150" s="14"/>
      <c r="AA150" s="14"/>
      <c r="AB150" s="18">
        <v>1</v>
      </c>
    </row>
    <row r="151" spans="2:28" ht="39" thickBot="1" x14ac:dyDescent="0.25">
      <c r="B151" s="87"/>
      <c r="C151" s="90"/>
      <c r="D151" s="80"/>
      <c r="E151" s="80"/>
      <c r="F151" s="80"/>
      <c r="G151" s="82"/>
      <c r="H151" s="84"/>
      <c r="I151" s="24"/>
      <c r="J151" s="24"/>
      <c r="K151" s="103"/>
      <c r="L151" s="44">
        <v>17964.36</v>
      </c>
      <c r="M151" s="69" t="s">
        <v>379</v>
      </c>
      <c r="N151" s="25" t="s">
        <v>380</v>
      </c>
      <c r="O151" s="22" t="s">
        <v>381</v>
      </c>
      <c r="P151" s="23">
        <v>4</v>
      </c>
      <c r="Q151" s="23"/>
      <c r="R151" s="23"/>
      <c r="S151" s="23">
        <v>1</v>
      </c>
      <c r="T151" s="23"/>
      <c r="U151" s="23"/>
      <c r="V151" s="23">
        <v>1</v>
      </c>
      <c r="W151" s="23"/>
      <c r="X151" s="23"/>
      <c r="Y151" s="23">
        <v>1</v>
      </c>
      <c r="Z151" s="23"/>
      <c r="AA151" s="23"/>
      <c r="AB151" s="26">
        <v>1</v>
      </c>
    </row>
    <row r="152" spans="2:28" ht="13.5" thickBot="1" x14ac:dyDescent="0.25">
      <c r="B152" s="30"/>
      <c r="C152" s="40"/>
      <c r="D152" s="40"/>
      <c r="E152" s="40"/>
      <c r="F152" s="40"/>
      <c r="G152" s="61"/>
      <c r="H152" s="40"/>
      <c r="I152" s="40"/>
      <c r="J152" s="40"/>
      <c r="K152" s="62">
        <f>SUM(K99:K151)</f>
        <v>45430536.43</v>
      </c>
      <c r="L152" s="33"/>
      <c r="M152" s="30"/>
      <c r="N152" s="63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 spans="2:28" ht="12.75" x14ac:dyDescent="0.2">
      <c r="B153" s="85" t="s">
        <v>382</v>
      </c>
      <c r="C153" s="88" t="s">
        <v>383</v>
      </c>
      <c r="D153" s="112">
        <f>SUM(K153:K201)</f>
        <v>98440734.449999988</v>
      </c>
      <c r="E153" s="91">
        <v>49</v>
      </c>
      <c r="F153" s="91" t="s">
        <v>785</v>
      </c>
      <c r="G153" s="92" t="s">
        <v>23</v>
      </c>
      <c r="H153" s="93" t="s">
        <v>384</v>
      </c>
      <c r="I153" s="9"/>
      <c r="J153" s="9"/>
      <c r="K153" s="111">
        <f>SUM(L153:L159)</f>
        <v>3736754.7499999995</v>
      </c>
      <c r="L153" s="42">
        <v>2603612.6399999997</v>
      </c>
      <c r="M153" s="8" t="s">
        <v>117</v>
      </c>
      <c r="N153" s="10" t="s">
        <v>141</v>
      </c>
      <c r="O153" s="7" t="s">
        <v>385</v>
      </c>
      <c r="P153" s="8">
        <v>25</v>
      </c>
      <c r="Q153" s="8">
        <v>2</v>
      </c>
      <c r="R153" s="8">
        <v>2</v>
      </c>
      <c r="S153" s="8">
        <v>2</v>
      </c>
      <c r="T153" s="8">
        <v>2</v>
      </c>
      <c r="U153" s="8">
        <v>2</v>
      </c>
      <c r="V153" s="8">
        <v>2</v>
      </c>
      <c r="W153" s="8">
        <v>2</v>
      </c>
      <c r="X153" s="8">
        <v>2</v>
      </c>
      <c r="Y153" s="8">
        <v>2</v>
      </c>
      <c r="Z153" s="8">
        <v>2</v>
      </c>
      <c r="AA153" s="8">
        <v>2</v>
      </c>
      <c r="AB153" s="11">
        <v>3</v>
      </c>
    </row>
    <row r="154" spans="2:28" ht="12.75" x14ac:dyDescent="0.2">
      <c r="B154" s="86"/>
      <c r="C154" s="89"/>
      <c r="D154" s="79"/>
      <c r="E154" s="79"/>
      <c r="F154" s="79"/>
      <c r="G154" s="81"/>
      <c r="H154" s="83"/>
      <c r="I154" s="15"/>
      <c r="J154" s="15"/>
      <c r="K154" s="102"/>
      <c r="L154" s="43">
        <v>9384.84</v>
      </c>
      <c r="M154" s="14" t="s">
        <v>143</v>
      </c>
      <c r="N154" s="19" t="s">
        <v>386</v>
      </c>
      <c r="O154" s="13" t="s">
        <v>385</v>
      </c>
      <c r="P154" s="14">
        <v>12</v>
      </c>
      <c r="Q154" s="14">
        <v>1</v>
      </c>
      <c r="R154" s="14">
        <v>1</v>
      </c>
      <c r="S154" s="14">
        <v>1</v>
      </c>
      <c r="T154" s="14">
        <v>1</v>
      </c>
      <c r="U154" s="14">
        <v>1</v>
      </c>
      <c r="V154" s="14">
        <v>1</v>
      </c>
      <c r="W154" s="14">
        <v>1</v>
      </c>
      <c r="X154" s="14">
        <v>1</v>
      </c>
      <c r="Y154" s="14">
        <v>1</v>
      </c>
      <c r="Z154" s="14">
        <v>1</v>
      </c>
      <c r="AA154" s="14">
        <v>1</v>
      </c>
      <c r="AB154" s="18">
        <v>1</v>
      </c>
    </row>
    <row r="155" spans="2:28" ht="25.5" x14ac:dyDescent="0.2">
      <c r="B155" s="86"/>
      <c r="C155" s="89"/>
      <c r="D155" s="79"/>
      <c r="E155" s="79"/>
      <c r="F155" s="79"/>
      <c r="G155" s="81"/>
      <c r="H155" s="83"/>
      <c r="I155" s="15"/>
      <c r="J155" s="15"/>
      <c r="K155" s="102"/>
      <c r="L155" s="43">
        <v>1020885.4400000001</v>
      </c>
      <c r="M155" s="14" t="s">
        <v>146</v>
      </c>
      <c r="N155" s="19" t="s">
        <v>387</v>
      </c>
      <c r="O155" s="13" t="s">
        <v>388</v>
      </c>
      <c r="P155" s="14">
        <v>365</v>
      </c>
      <c r="Q155" s="14">
        <v>31</v>
      </c>
      <c r="R155" s="14">
        <v>28</v>
      </c>
      <c r="S155" s="14">
        <v>31</v>
      </c>
      <c r="T155" s="14">
        <v>30</v>
      </c>
      <c r="U155" s="14">
        <v>31</v>
      </c>
      <c r="V155" s="14">
        <v>30</v>
      </c>
      <c r="W155" s="14">
        <v>31</v>
      </c>
      <c r="X155" s="14">
        <v>31</v>
      </c>
      <c r="Y155" s="14">
        <v>30</v>
      </c>
      <c r="Z155" s="14">
        <v>31</v>
      </c>
      <c r="AA155" s="14">
        <v>30</v>
      </c>
      <c r="AB155" s="18">
        <v>31</v>
      </c>
    </row>
    <row r="156" spans="2:28" ht="25.5" x14ac:dyDescent="0.2">
      <c r="B156" s="86"/>
      <c r="C156" s="89"/>
      <c r="D156" s="79"/>
      <c r="E156" s="79"/>
      <c r="F156" s="79"/>
      <c r="G156" s="81"/>
      <c r="H156" s="83"/>
      <c r="I156" s="15"/>
      <c r="J156" s="15"/>
      <c r="K156" s="102"/>
      <c r="L156" s="43">
        <v>5088.2700000000004</v>
      </c>
      <c r="M156" s="14" t="s">
        <v>33</v>
      </c>
      <c r="N156" s="19" t="s">
        <v>389</v>
      </c>
      <c r="O156" s="13" t="s">
        <v>390</v>
      </c>
      <c r="P156" s="14">
        <v>1</v>
      </c>
      <c r="Q156" s="14">
        <v>1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8"/>
    </row>
    <row r="157" spans="2:28" ht="55.9" customHeight="1" x14ac:dyDescent="0.2">
      <c r="B157" s="86"/>
      <c r="C157" s="89"/>
      <c r="D157" s="79"/>
      <c r="E157" s="79"/>
      <c r="F157" s="79"/>
      <c r="G157" s="81"/>
      <c r="H157" s="83"/>
      <c r="I157" s="15"/>
      <c r="J157" s="15"/>
      <c r="K157" s="102"/>
      <c r="L157" s="43">
        <v>12714.150000000001</v>
      </c>
      <c r="M157" s="14" t="s">
        <v>36</v>
      </c>
      <c r="N157" s="19" t="s">
        <v>391</v>
      </c>
      <c r="O157" s="13" t="s">
        <v>392</v>
      </c>
      <c r="P157" s="14">
        <v>1</v>
      </c>
      <c r="Q157" s="14"/>
      <c r="R157" s="14"/>
      <c r="S157" s="14"/>
      <c r="T157" s="14">
        <v>1</v>
      </c>
      <c r="U157" s="14"/>
      <c r="V157" s="14"/>
      <c r="W157" s="14"/>
      <c r="X157" s="14"/>
      <c r="Y157" s="14"/>
      <c r="Z157" s="14"/>
      <c r="AA157" s="14"/>
      <c r="AB157" s="18"/>
    </row>
    <row r="158" spans="2:28" ht="38.25" x14ac:dyDescent="0.2">
      <c r="B158" s="86"/>
      <c r="C158" s="89"/>
      <c r="D158" s="79"/>
      <c r="E158" s="79"/>
      <c r="F158" s="79"/>
      <c r="G158" s="81"/>
      <c r="H158" s="83"/>
      <c r="I158" s="15"/>
      <c r="J158" s="15"/>
      <c r="K158" s="102"/>
      <c r="L158" s="43">
        <v>12714.140000000001</v>
      </c>
      <c r="M158" s="14" t="s">
        <v>155</v>
      </c>
      <c r="N158" s="19" t="s">
        <v>393</v>
      </c>
      <c r="O158" s="13" t="s">
        <v>394</v>
      </c>
      <c r="P158" s="14">
        <v>2</v>
      </c>
      <c r="Q158" s="14"/>
      <c r="R158" s="14"/>
      <c r="S158" s="14"/>
      <c r="T158" s="14"/>
      <c r="U158" s="14"/>
      <c r="V158" s="14">
        <v>1</v>
      </c>
      <c r="W158" s="14"/>
      <c r="X158" s="14"/>
      <c r="Y158" s="14"/>
      <c r="Z158" s="14"/>
      <c r="AA158" s="14"/>
      <c r="AB158" s="18">
        <v>1</v>
      </c>
    </row>
    <row r="159" spans="2:28" ht="38.25" x14ac:dyDescent="0.2">
      <c r="B159" s="86"/>
      <c r="C159" s="89"/>
      <c r="D159" s="79"/>
      <c r="E159" s="79"/>
      <c r="F159" s="79"/>
      <c r="G159" s="81"/>
      <c r="H159" s="83"/>
      <c r="I159" s="15"/>
      <c r="J159" s="15"/>
      <c r="K159" s="101"/>
      <c r="L159" s="43">
        <v>72355.27</v>
      </c>
      <c r="M159" s="14" t="s">
        <v>42</v>
      </c>
      <c r="N159" s="19" t="s">
        <v>395</v>
      </c>
      <c r="O159" s="13" t="s">
        <v>396</v>
      </c>
      <c r="P159" s="14">
        <v>1</v>
      </c>
      <c r="Q159" s="14"/>
      <c r="R159" s="14"/>
      <c r="S159" s="14">
        <v>1</v>
      </c>
      <c r="T159" s="14"/>
      <c r="U159" s="14"/>
      <c r="V159" s="14"/>
      <c r="W159" s="14"/>
      <c r="X159" s="14"/>
      <c r="Y159" s="14"/>
      <c r="Z159" s="14"/>
      <c r="AA159" s="14"/>
      <c r="AB159" s="18"/>
    </row>
    <row r="160" spans="2:28" ht="24.6" customHeight="1" x14ac:dyDescent="0.2">
      <c r="B160" s="86"/>
      <c r="C160" s="89"/>
      <c r="D160" s="79"/>
      <c r="E160" s="79">
        <v>31</v>
      </c>
      <c r="F160" s="79" t="s">
        <v>786</v>
      </c>
      <c r="G160" s="81" t="s">
        <v>48</v>
      </c>
      <c r="H160" s="83" t="s">
        <v>397</v>
      </c>
      <c r="I160" s="15"/>
      <c r="J160" s="15"/>
      <c r="K160" s="100">
        <f>SUM(L160:L165)</f>
        <v>19815026.699999996</v>
      </c>
      <c r="L160" s="43">
        <v>15716185.119999999</v>
      </c>
      <c r="M160" s="14" t="s">
        <v>159</v>
      </c>
      <c r="N160" s="19" t="s">
        <v>25</v>
      </c>
      <c r="O160" s="13" t="s">
        <v>385</v>
      </c>
      <c r="P160" s="14">
        <v>25</v>
      </c>
      <c r="Q160" s="14">
        <v>2</v>
      </c>
      <c r="R160" s="14">
        <v>2</v>
      </c>
      <c r="S160" s="14">
        <v>2</v>
      </c>
      <c r="T160" s="14">
        <v>2</v>
      </c>
      <c r="U160" s="14">
        <v>2</v>
      </c>
      <c r="V160" s="14">
        <v>2</v>
      </c>
      <c r="W160" s="14">
        <v>2</v>
      </c>
      <c r="X160" s="14">
        <v>2</v>
      </c>
      <c r="Y160" s="14">
        <v>2</v>
      </c>
      <c r="Z160" s="14">
        <v>2</v>
      </c>
      <c r="AA160" s="14">
        <v>2</v>
      </c>
      <c r="AB160" s="18">
        <v>3</v>
      </c>
    </row>
    <row r="161" spans="2:28" ht="38.25" x14ac:dyDescent="0.2">
      <c r="B161" s="86"/>
      <c r="C161" s="89"/>
      <c r="D161" s="79"/>
      <c r="E161" s="79"/>
      <c r="F161" s="79"/>
      <c r="G161" s="81"/>
      <c r="H161" s="83"/>
      <c r="I161" s="15"/>
      <c r="J161" s="15"/>
      <c r="K161" s="102"/>
      <c r="L161" s="43">
        <v>1086186.1300000001</v>
      </c>
      <c r="M161" s="14" t="s">
        <v>160</v>
      </c>
      <c r="N161" s="19" t="s">
        <v>398</v>
      </c>
      <c r="O161" s="13" t="s">
        <v>399</v>
      </c>
      <c r="P161" s="14">
        <v>24</v>
      </c>
      <c r="Q161" s="14">
        <v>2</v>
      </c>
      <c r="R161" s="14">
        <v>2</v>
      </c>
      <c r="S161" s="14">
        <v>2</v>
      </c>
      <c r="T161" s="14">
        <v>2</v>
      </c>
      <c r="U161" s="14">
        <v>2</v>
      </c>
      <c r="V161" s="14">
        <v>2</v>
      </c>
      <c r="W161" s="14">
        <v>2</v>
      </c>
      <c r="X161" s="14">
        <v>2</v>
      </c>
      <c r="Y161" s="14">
        <v>2</v>
      </c>
      <c r="Z161" s="14">
        <v>2</v>
      </c>
      <c r="AA161" s="14">
        <v>2</v>
      </c>
      <c r="AB161" s="18">
        <v>2</v>
      </c>
    </row>
    <row r="162" spans="2:28" ht="25.5" x14ac:dyDescent="0.2">
      <c r="B162" s="86"/>
      <c r="C162" s="89"/>
      <c r="D162" s="79"/>
      <c r="E162" s="79"/>
      <c r="F162" s="79"/>
      <c r="G162" s="81"/>
      <c r="H162" s="83"/>
      <c r="I162" s="15"/>
      <c r="J162" s="15"/>
      <c r="K162" s="102"/>
      <c r="L162" s="43">
        <v>766746.23999999987</v>
      </c>
      <c r="M162" s="14" t="s">
        <v>163</v>
      </c>
      <c r="N162" s="19" t="s">
        <v>825</v>
      </c>
      <c r="O162" s="13" t="s">
        <v>400</v>
      </c>
      <c r="P162" s="14">
        <v>1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8">
        <v>1</v>
      </c>
    </row>
    <row r="163" spans="2:28" ht="46.15" customHeight="1" x14ac:dyDescent="0.2">
      <c r="B163" s="86"/>
      <c r="C163" s="89"/>
      <c r="D163" s="79"/>
      <c r="E163" s="79"/>
      <c r="F163" s="79"/>
      <c r="G163" s="81"/>
      <c r="H163" s="83"/>
      <c r="I163" s="15"/>
      <c r="J163" s="15"/>
      <c r="K163" s="102"/>
      <c r="L163" s="43">
        <v>712416.73</v>
      </c>
      <c r="M163" s="14" t="s">
        <v>214</v>
      </c>
      <c r="N163" s="19" t="s">
        <v>401</v>
      </c>
      <c r="O163" s="13" t="s">
        <v>402</v>
      </c>
      <c r="P163" s="14">
        <v>480</v>
      </c>
      <c r="Q163" s="14">
        <v>40</v>
      </c>
      <c r="R163" s="14">
        <v>40</v>
      </c>
      <c r="S163" s="14">
        <v>40</v>
      </c>
      <c r="T163" s="14">
        <v>40</v>
      </c>
      <c r="U163" s="14">
        <v>40</v>
      </c>
      <c r="V163" s="14">
        <v>40</v>
      </c>
      <c r="W163" s="14">
        <v>40</v>
      </c>
      <c r="X163" s="14">
        <v>40</v>
      </c>
      <c r="Y163" s="14">
        <v>40</v>
      </c>
      <c r="Z163" s="14">
        <v>40</v>
      </c>
      <c r="AA163" s="14">
        <v>40</v>
      </c>
      <c r="AB163" s="18">
        <v>40</v>
      </c>
    </row>
    <row r="164" spans="2:28" ht="25.5" x14ac:dyDescent="0.2">
      <c r="B164" s="86"/>
      <c r="C164" s="89"/>
      <c r="D164" s="79"/>
      <c r="E164" s="79"/>
      <c r="F164" s="79"/>
      <c r="G164" s="81"/>
      <c r="H164" s="83"/>
      <c r="I164" s="15"/>
      <c r="J164" s="15"/>
      <c r="K164" s="102"/>
      <c r="L164" s="43">
        <v>766746.23999999987</v>
      </c>
      <c r="M164" s="14" t="s">
        <v>169</v>
      </c>
      <c r="N164" s="19" t="s">
        <v>403</v>
      </c>
      <c r="O164" s="13" t="s">
        <v>404</v>
      </c>
      <c r="P164" s="14">
        <v>36</v>
      </c>
      <c r="Q164" s="14">
        <v>3</v>
      </c>
      <c r="R164" s="14">
        <v>3</v>
      </c>
      <c r="S164" s="14">
        <v>3</v>
      </c>
      <c r="T164" s="14">
        <v>3</v>
      </c>
      <c r="U164" s="14">
        <v>3</v>
      </c>
      <c r="V164" s="14">
        <v>3</v>
      </c>
      <c r="W164" s="14">
        <v>3</v>
      </c>
      <c r="X164" s="14">
        <v>3</v>
      </c>
      <c r="Y164" s="14">
        <v>3</v>
      </c>
      <c r="Z164" s="14">
        <v>3</v>
      </c>
      <c r="AA164" s="14">
        <v>3</v>
      </c>
      <c r="AB164" s="18">
        <v>3</v>
      </c>
    </row>
    <row r="165" spans="2:28" ht="25.5" x14ac:dyDescent="0.2">
      <c r="B165" s="86"/>
      <c r="C165" s="89"/>
      <c r="D165" s="79"/>
      <c r="E165" s="79"/>
      <c r="F165" s="79"/>
      <c r="G165" s="81"/>
      <c r="H165" s="83"/>
      <c r="I165" s="15"/>
      <c r="J165" s="15"/>
      <c r="K165" s="101"/>
      <c r="L165" s="43">
        <v>766746.23999999987</v>
      </c>
      <c r="M165" s="14" t="s">
        <v>172</v>
      </c>
      <c r="N165" s="19" t="s">
        <v>405</v>
      </c>
      <c r="O165" s="13" t="s">
        <v>406</v>
      </c>
      <c r="P165" s="14">
        <v>48</v>
      </c>
      <c r="Q165" s="14">
        <v>4</v>
      </c>
      <c r="R165" s="14">
        <v>4</v>
      </c>
      <c r="S165" s="14">
        <v>4</v>
      </c>
      <c r="T165" s="14">
        <v>4</v>
      </c>
      <c r="U165" s="14">
        <v>4</v>
      </c>
      <c r="V165" s="14">
        <v>4</v>
      </c>
      <c r="W165" s="14">
        <v>4</v>
      </c>
      <c r="X165" s="14">
        <v>4</v>
      </c>
      <c r="Y165" s="14">
        <v>4</v>
      </c>
      <c r="Z165" s="14">
        <v>4</v>
      </c>
      <c r="AA165" s="14">
        <v>4</v>
      </c>
      <c r="AB165" s="18">
        <v>4</v>
      </c>
    </row>
    <row r="166" spans="2:28" ht="18.600000000000001" customHeight="1" x14ac:dyDescent="0.2">
      <c r="B166" s="86"/>
      <c r="C166" s="89"/>
      <c r="D166" s="79"/>
      <c r="E166" s="79">
        <v>26</v>
      </c>
      <c r="F166" s="79" t="s">
        <v>787</v>
      </c>
      <c r="G166" s="81" t="s">
        <v>54</v>
      </c>
      <c r="H166" s="83" t="s">
        <v>407</v>
      </c>
      <c r="I166" s="15"/>
      <c r="J166" s="15"/>
      <c r="K166" s="100">
        <f>SUM(L166:L172)</f>
        <v>62458352.319999993</v>
      </c>
      <c r="L166" s="43">
        <v>38930147.690000005</v>
      </c>
      <c r="M166" s="14" t="s">
        <v>176</v>
      </c>
      <c r="N166" s="19" t="s">
        <v>141</v>
      </c>
      <c r="O166" s="13" t="s">
        <v>385</v>
      </c>
      <c r="P166" s="14">
        <v>25</v>
      </c>
      <c r="Q166" s="14">
        <v>2</v>
      </c>
      <c r="R166" s="14">
        <v>2</v>
      </c>
      <c r="S166" s="14">
        <v>2</v>
      </c>
      <c r="T166" s="14">
        <v>2</v>
      </c>
      <c r="U166" s="14">
        <v>2</v>
      </c>
      <c r="V166" s="14">
        <v>2</v>
      </c>
      <c r="W166" s="14">
        <v>2</v>
      </c>
      <c r="X166" s="14">
        <v>2</v>
      </c>
      <c r="Y166" s="14">
        <v>2</v>
      </c>
      <c r="Z166" s="14">
        <v>2</v>
      </c>
      <c r="AA166" s="14">
        <v>2</v>
      </c>
      <c r="AB166" s="18">
        <v>3</v>
      </c>
    </row>
    <row r="167" spans="2:28" ht="25.5" x14ac:dyDescent="0.2">
      <c r="B167" s="86"/>
      <c r="C167" s="89"/>
      <c r="D167" s="79"/>
      <c r="E167" s="79"/>
      <c r="F167" s="79"/>
      <c r="G167" s="81"/>
      <c r="H167" s="83"/>
      <c r="I167" s="15"/>
      <c r="J167" s="15"/>
      <c r="K167" s="102"/>
      <c r="L167" s="43">
        <v>4796101.1199999982</v>
      </c>
      <c r="M167" s="14" t="s">
        <v>177</v>
      </c>
      <c r="N167" s="19" t="s">
        <v>408</v>
      </c>
      <c r="O167" s="13" t="s">
        <v>409</v>
      </c>
      <c r="P167" s="14">
        <v>3580</v>
      </c>
      <c r="Q167" s="14">
        <v>300</v>
      </c>
      <c r="R167" s="14">
        <v>280</v>
      </c>
      <c r="S167" s="14">
        <v>300</v>
      </c>
      <c r="T167" s="14">
        <v>300</v>
      </c>
      <c r="U167" s="14">
        <v>300</v>
      </c>
      <c r="V167" s="14">
        <v>300</v>
      </c>
      <c r="W167" s="14">
        <v>300</v>
      </c>
      <c r="X167" s="14">
        <v>300</v>
      </c>
      <c r="Y167" s="14">
        <v>300</v>
      </c>
      <c r="Z167" s="14">
        <v>300</v>
      </c>
      <c r="AA167" s="14">
        <v>300</v>
      </c>
      <c r="AB167" s="18">
        <v>300</v>
      </c>
    </row>
    <row r="168" spans="2:28" ht="25.5" x14ac:dyDescent="0.2">
      <c r="B168" s="86"/>
      <c r="C168" s="89"/>
      <c r="D168" s="79"/>
      <c r="E168" s="79"/>
      <c r="F168" s="79"/>
      <c r="G168" s="81"/>
      <c r="H168" s="83"/>
      <c r="I168" s="15"/>
      <c r="J168" s="15"/>
      <c r="K168" s="102"/>
      <c r="L168" s="43">
        <v>571101.12</v>
      </c>
      <c r="M168" s="14" t="s">
        <v>180</v>
      </c>
      <c r="N168" s="19" t="s">
        <v>410</v>
      </c>
      <c r="O168" s="13" t="s">
        <v>411</v>
      </c>
      <c r="P168" s="14">
        <v>24</v>
      </c>
      <c r="Q168" s="14">
        <v>2</v>
      </c>
      <c r="R168" s="14">
        <v>2</v>
      </c>
      <c r="S168" s="14">
        <v>2</v>
      </c>
      <c r="T168" s="14">
        <v>2</v>
      </c>
      <c r="U168" s="14">
        <v>2</v>
      </c>
      <c r="V168" s="14">
        <v>2</v>
      </c>
      <c r="W168" s="14">
        <v>2</v>
      </c>
      <c r="X168" s="14">
        <v>2</v>
      </c>
      <c r="Y168" s="14">
        <v>2</v>
      </c>
      <c r="Z168" s="14">
        <v>2</v>
      </c>
      <c r="AA168" s="14">
        <v>2</v>
      </c>
      <c r="AB168" s="18">
        <v>2</v>
      </c>
    </row>
    <row r="169" spans="2:28" ht="25.5" x14ac:dyDescent="0.2">
      <c r="B169" s="86"/>
      <c r="C169" s="89"/>
      <c r="D169" s="79"/>
      <c r="E169" s="79"/>
      <c r="F169" s="79"/>
      <c r="G169" s="81"/>
      <c r="H169" s="83"/>
      <c r="I169" s="15"/>
      <c r="J169" s="15"/>
      <c r="K169" s="102"/>
      <c r="L169" s="43">
        <v>571101.12</v>
      </c>
      <c r="M169" s="14" t="s">
        <v>183</v>
      </c>
      <c r="N169" s="19" t="s">
        <v>412</v>
      </c>
      <c r="O169" s="13" t="s">
        <v>411</v>
      </c>
      <c r="P169" s="14">
        <v>180</v>
      </c>
      <c r="Q169" s="14">
        <v>15</v>
      </c>
      <c r="R169" s="14">
        <v>15</v>
      </c>
      <c r="S169" s="14">
        <v>15</v>
      </c>
      <c r="T169" s="14">
        <v>15</v>
      </c>
      <c r="U169" s="14">
        <v>15</v>
      </c>
      <c r="V169" s="14">
        <v>15</v>
      </c>
      <c r="W169" s="14">
        <v>15</v>
      </c>
      <c r="X169" s="14">
        <v>15</v>
      </c>
      <c r="Y169" s="14">
        <v>15</v>
      </c>
      <c r="Z169" s="14">
        <v>15</v>
      </c>
      <c r="AA169" s="14">
        <v>15</v>
      </c>
      <c r="AB169" s="18">
        <v>15</v>
      </c>
    </row>
    <row r="170" spans="2:28" ht="25.5" x14ac:dyDescent="0.2">
      <c r="B170" s="86"/>
      <c r="C170" s="89"/>
      <c r="D170" s="79"/>
      <c r="E170" s="79"/>
      <c r="F170" s="79"/>
      <c r="G170" s="81"/>
      <c r="H170" s="83"/>
      <c r="I170" s="15"/>
      <c r="J170" s="15"/>
      <c r="K170" s="102"/>
      <c r="L170" s="43">
        <v>571101.12</v>
      </c>
      <c r="M170" s="14" t="s">
        <v>186</v>
      </c>
      <c r="N170" s="19" t="s">
        <v>413</v>
      </c>
      <c r="O170" s="13" t="s">
        <v>414</v>
      </c>
      <c r="P170" s="14">
        <v>12</v>
      </c>
      <c r="Q170" s="14">
        <v>1</v>
      </c>
      <c r="R170" s="14">
        <v>1</v>
      </c>
      <c r="S170" s="14">
        <v>1</v>
      </c>
      <c r="T170" s="14">
        <v>1</v>
      </c>
      <c r="U170" s="14">
        <v>1</v>
      </c>
      <c r="V170" s="14">
        <v>1</v>
      </c>
      <c r="W170" s="14">
        <v>1</v>
      </c>
      <c r="X170" s="14">
        <v>1</v>
      </c>
      <c r="Y170" s="14">
        <v>1</v>
      </c>
      <c r="Z170" s="14">
        <v>1</v>
      </c>
      <c r="AA170" s="14">
        <v>1</v>
      </c>
      <c r="AB170" s="18">
        <v>1</v>
      </c>
    </row>
    <row r="171" spans="2:28" ht="38.25" x14ac:dyDescent="0.2">
      <c r="B171" s="86"/>
      <c r="C171" s="89"/>
      <c r="D171" s="79"/>
      <c r="E171" s="79"/>
      <c r="F171" s="79"/>
      <c r="G171" s="81"/>
      <c r="H171" s="83"/>
      <c r="I171" s="15"/>
      <c r="J171" s="15"/>
      <c r="K171" s="102"/>
      <c r="L171" s="43">
        <v>571101.12</v>
      </c>
      <c r="M171" s="14" t="s">
        <v>415</v>
      </c>
      <c r="N171" s="19" t="s">
        <v>416</v>
      </c>
      <c r="O171" s="13" t="s">
        <v>417</v>
      </c>
      <c r="P171" s="14">
        <v>12</v>
      </c>
      <c r="Q171" s="14">
        <v>1</v>
      </c>
      <c r="R171" s="14">
        <v>1</v>
      </c>
      <c r="S171" s="14">
        <v>1</v>
      </c>
      <c r="T171" s="14">
        <v>1</v>
      </c>
      <c r="U171" s="14">
        <v>1</v>
      </c>
      <c r="V171" s="14">
        <v>1</v>
      </c>
      <c r="W171" s="14">
        <v>1</v>
      </c>
      <c r="X171" s="14">
        <v>1</v>
      </c>
      <c r="Y171" s="14">
        <v>1</v>
      </c>
      <c r="Z171" s="14">
        <v>1</v>
      </c>
      <c r="AA171" s="14">
        <v>1</v>
      </c>
      <c r="AB171" s="18">
        <v>1</v>
      </c>
    </row>
    <row r="172" spans="2:28" ht="25.5" x14ac:dyDescent="0.2">
      <c r="B172" s="86"/>
      <c r="C172" s="89"/>
      <c r="D172" s="79"/>
      <c r="E172" s="79"/>
      <c r="F172" s="79"/>
      <c r="G172" s="81"/>
      <c r="H172" s="83"/>
      <c r="I172" s="15"/>
      <c r="J172" s="15"/>
      <c r="K172" s="101"/>
      <c r="L172" s="43">
        <v>16447699.030000001</v>
      </c>
      <c r="M172" s="14" t="s">
        <v>418</v>
      </c>
      <c r="N172" s="19" t="s">
        <v>419</v>
      </c>
      <c r="O172" s="13" t="s">
        <v>420</v>
      </c>
      <c r="P172" s="14">
        <v>1</v>
      </c>
      <c r="Q172" s="14"/>
      <c r="R172" s="14">
        <v>1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8"/>
    </row>
    <row r="173" spans="2:28" ht="12.75" x14ac:dyDescent="0.2">
      <c r="B173" s="86"/>
      <c r="C173" s="89"/>
      <c r="D173" s="79"/>
      <c r="E173" s="79">
        <v>30</v>
      </c>
      <c r="F173" s="79" t="s">
        <v>788</v>
      </c>
      <c r="G173" s="81" t="s">
        <v>63</v>
      </c>
      <c r="H173" s="83" t="s">
        <v>421</v>
      </c>
      <c r="I173" s="15"/>
      <c r="J173" s="15"/>
      <c r="K173" s="100">
        <f>SUM(L173:L179)</f>
        <v>5184233.8400000008</v>
      </c>
      <c r="L173" s="43">
        <v>4547208.5</v>
      </c>
      <c r="M173" s="14" t="s">
        <v>225</v>
      </c>
      <c r="N173" s="19" t="s">
        <v>141</v>
      </c>
      <c r="O173" s="13" t="s">
        <v>385</v>
      </c>
      <c r="P173" s="14">
        <v>25</v>
      </c>
      <c r="Q173" s="14">
        <v>2</v>
      </c>
      <c r="R173" s="14">
        <v>2</v>
      </c>
      <c r="S173" s="14">
        <v>2</v>
      </c>
      <c r="T173" s="14">
        <v>2</v>
      </c>
      <c r="U173" s="14">
        <v>2</v>
      </c>
      <c r="V173" s="14">
        <v>2</v>
      </c>
      <c r="W173" s="14">
        <v>2</v>
      </c>
      <c r="X173" s="14">
        <v>2</v>
      </c>
      <c r="Y173" s="14">
        <v>2</v>
      </c>
      <c r="Z173" s="14">
        <v>2</v>
      </c>
      <c r="AA173" s="14">
        <v>2</v>
      </c>
      <c r="AB173" s="18">
        <v>3</v>
      </c>
    </row>
    <row r="174" spans="2:28" ht="38.25" x14ac:dyDescent="0.2">
      <c r="B174" s="86"/>
      <c r="C174" s="89"/>
      <c r="D174" s="79"/>
      <c r="E174" s="79"/>
      <c r="F174" s="79"/>
      <c r="G174" s="81"/>
      <c r="H174" s="83"/>
      <c r="I174" s="15"/>
      <c r="J174" s="15"/>
      <c r="K174" s="102"/>
      <c r="L174" s="43">
        <v>116525.28000000001</v>
      </c>
      <c r="M174" s="14" t="s">
        <v>226</v>
      </c>
      <c r="N174" s="19" t="s">
        <v>422</v>
      </c>
      <c r="O174" s="13" t="s">
        <v>423</v>
      </c>
      <c r="P174" s="14">
        <v>12</v>
      </c>
      <c r="Q174" s="14">
        <v>1</v>
      </c>
      <c r="R174" s="14">
        <v>1</v>
      </c>
      <c r="S174" s="14">
        <v>1</v>
      </c>
      <c r="T174" s="14">
        <v>1</v>
      </c>
      <c r="U174" s="14">
        <v>1</v>
      </c>
      <c r="V174" s="14">
        <v>1</v>
      </c>
      <c r="W174" s="14">
        <v>1</v>
      </c>
      <c r="X174" s="14">
        <v>1</v>
      </c>
      <c r="Y174" s="14">
        <v>1</v>
      </c>
      <c r="Z174" s="14">
        <v>1</v>
      </c>
      <c r="AA174" s="14">
        <v>1</v>
      </c>
      <c r="AB174" s="18">
        <v>1</v>
      </c>
    </row>
    <row r="175" spans="2:28" ht="12.75" x14ac:dyDescent="0.2">
      <c r="B175" s="86"/>
      <c r="C175" s="89"/>
      <c r="D175" s="79"/>
      <c r="E175" s="79"/>
      <c r="F175" s="79"/>
      <c r="G175" s="81"/>
      <c r="H175" s="83"/>
      <c r="I175" s="15"/>
      <c r="J175" s="15"/>
      <c r="K175" s="102"/>
      <c r="L175" s="43">
        <v>116525.3</v>
      </c>
      <c r="M175" s="14" t="s">
        <v>229</v>
      </c>
      <c r="N175" s="19" t="s">
        <v>424</v>
      </c>
      <c r="O175" s="13" t="s">
        <v>425</v>
      </c>
      <c r="P175" s="14">
        <v>2</v>
      </c>
      <c r="Q175" s="14">
        <v>1</v>
      </c>
      <c r="R175" s="14"/>
      <c r="S175" s="14"/>
      <c r="T175" s="14"/>
      <c r="U175" s="14"/>
      <c r="V175" s="14"/>
      <c r="W175" s="14">
        <v>1</v>
      </c>
      <c r="X175" s="14"/>
      <c r="Y175" s="14"/>
      <c r="Z175" s="14"/>
      <c r="AA175" s="14"/>
      <c r="AB175" s="18"/>
    </row>
    <row r="176" spans="2:28" ht="25.5" x14ac:dyDescent="0.2">
      <c r="B176" s="86"/>
      <c r="C176" s="89"/>
      <c r="D176" s="79"/>
      <c r="E176" s="79"/>
      <c r="F176" s="79"/>
      <c r="G176" s="81"/>
      <c r="H176" s="83"/>
      <c r="I176" s="15"/>
      <c r="J176" s="15"/>
      <c r="K176" s="102"/>
      <c r="L176" s="43">
        <v>116525.3</v>
      </c>
      <c r="M176" s="14" t="s">
        <v>232</v>
      </c>
      <c r="N176" s="19" t="s">
        <v>426</v>
      </c>
      <c r="O176" s="13" t="s">
        <v>425</v>
      </c>
      <c r="P176" s="14">
        <v>3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8">
        <v>3</v>
      </c>
    </row>
    <row r="177" spans="2:28" ht="38.25" x14ac:dyDescent="0.2">
      <c r="B177" s="86"/>
      <c r="C177" s="89"/>
      <c r="D177" s="79"/>
      <c r="E177" s="79"/>
      <c r="F177" s="79"/>
      <c r="G177" s="81"/>
      <c r="H177" s="83"/>
      <c r="I177" s="15"/>
      <c r="J177" s="15"/>
      <c r="K177" s="102"/>
      <c r="L177" s="43">
        <v>116525.28000000001</v>
      </c>
      <c r="M177" s="14" t="s">
        <v>235</v>
      </c>
      <c r="N177" s="19" t="s">
        <v>427</v>
      </c>
      <c r="O177" s="13" t="s">
        <v>428</v>
      </c>
      <c r="P177" s="14">
        <v>12</v>
      </c>
      <c r="Q177" s="14"/>
      <c r="R177" s="14">
        <v>2</v>
      </c>
      <c r="S177" s="14">
        <v>1</v>
      </c>
      <c r="T177" s="14">
        <v>1</v>
      </c>
      <c r="U177" s="14">
        <v>1</v>
      </c>
      <c r="V177" s="14">
        <v>1</v>
      </c>
      <c r="W177" s="14">
        <v>1</v>
      </c>
      <c r="X177" s="14">
        <v>1</v>
      </c>
      <c r="Y177" s="14">
        <v>1</v>
      </c>
      <c r="Z177" s="14">
        <v>1</v>
      </c>
      <c r="AA177" s="14">
        <v>1</v>
      </c>
      <c r="AB177" s="18">
        <v>1</v>
      </c>
    </row>
    <row r="178" spans="2:28" ht="25.5" x14ac:dyDescent="0.2">
      <c r="B178" s="86"/>
      <c r="C178" s="89"/>
      <c r="D178" s="79"/>
      <c r="E178" s="79"/>
      <c r="F178" s="79"/>
      <c r="G178" s="81"/>
      <c r="H178" s="83"/>
      <c r="I178" s="15"/>
      <c r="J178" s="15"/>
      <c r="K178" s="102"/>
      <c r="L178" s="43">
        <v>116525.28</v>
      </c>
      <c r="M178" s="14" t="s">
        <v>238</v>
      </c>
      <c r="N178" s="19" t="s">
        <v>429</v>
      </c>
      <c r="O178" s="13" t="s">
        <v>428</v>
      </c>
      <c r="P178" s="14">
        <v>4</v>
      </c>
      <c r="Q178" s="14"/>
      <c r="R178" s="14"/>
      <c r="S178" s="14">
        <v>1</v>
      </c>
      <c r="T178" s="14"/>
      <c r="U178" s="14"/>
      <c r="V178" s="14">
        <v>1</v>
      </c>
      <c r="W178" s="14"/>
      <c r="X178" s="14"/>
      <c r="Y178" s="14">
        <v>1</v>
      </c>
      <c r="Z178" s="14"/>
      <c r="AA178" s="14"/>
      <c r="AB178" s="18">
        <v>1</v>
      </c>
    </row>
    <row r="179" spans="2:28" ht="12.75" x14ac:dyDescent="0.2">
      <c r="B179" s="86"/>
      <c r="C179" s="89"/>
      <c r="D179" s="79"/>
      <c r="E179" s="79"/>
      <c r="F179" s="79"/>
      <c r="G179" s="81"/>
      <c r="H179" s="83"/>
      <c r="I179" s="15"/>
      <c r="J179" s="15"/>
      <c r="K179" s="101"/>
      <c r="L179" s="43">
        <v>54398.9</v>
      </c>
      <c r="M179" s="14" t="s">
        <v>430</v>
      </c>
      <c r="N179" s="19" t="s">
        <v>431</v>
      </c>
      <c r="O179" s="13" t="s">
        <v>432</v>
      </c>
      <c r="P179" s="14">
        <v>1</v>
      </c>
      <c r="Q179" s="14"/>
      <c r="R179" s="14"/>
      <c r="S179" s="14"/>
      <c r="T179" s="14"/>
      <c r="U179" s="14"/>
      <c r="V179" s="14"/>
      <c r="W179" s="14"/>
      <c r="X179" s="14">
        <v>1</v>
      </c>
      <c r="Y179" s="14"/>
      <c r="Z179" s="14"/>
      <c r="AA179" s="14"/>
      <c r="AB179" s="18"/>
    </row>
    <row r="180" spans="2:28" ht="12.75" x14ac:dyDescent="0.2">
      <c r="B180" s="86"/>
      <c r="C180" s="89"/>
      <c r="D180" s="79"/>
      <c r="E180" s="79">
        <v>29</v>
      </c>
      <c r="F180" s="79" t="s">
        <v>789</v>
      </c>
      <c r="G180" s="81" t="s">
        <v>241</v>
      </c>
      <c r="H180" s="83" t="s">
        <v>433</v>
      </c>
      <c r="I180" s="15"/>
      <c r="J180" s="15"/>
      <c r="K180" s="100">
        <f>SUM(L180:L183)</f>
        <v>4454158.83</v>
      </c>
      <c r="L180" s="43">
        <v>3751358.5500000003</v>
      </c>
      <c r="M180" s="14" t="s">
        <v>243</v>
      </c>
      <c r="N180" s="19" t="s">
        <v>141</v>
      </c>
      <c r="O180" s="13" t="s">
        <v>385</v>
      </c>
      <c r="P180" s="14">
        <v>25</v>
      </c>
      <c r="Q180" s="14">
        <v>2</v>
      </c>
      <c r="R180" s="14">
        <v>2</v>
      </c>
      <c r="S180" s="14">
        <v>2</v>
      </c>
      <c r="T180" s="14">
        <v>2</v>
      </c>
      <c r="U180" s="14">
        <v>2</v>
      </c>
      <c r="V180" s="14">
        <v>2</v>
      </c>
      <c r="W180" s="14">
        <v>2</v>
      </c>
      <c r="X180" s="14">
        <v>2</v>
      </c>
      <c r="Y180" s="14">
        <v>2</v>
      </c>
      <c r="Z180" s="14">
        <v>2</v>
      </c>
      <c r="AA180" s="14">
        <v>2</v>
      </c>
      <c r="AB180" s="18">
        <v>3</v>
      </c>
    </row>
    <row r="181" spans="2:28" ht="25.5" x14ac:dyDescent="0.2">
      <c r="B181" s="86"/>
      <c r="C181" s="89"/>
      <c r="D181" s="79"/>
      <c r="E181" s="79"/>
      <c r="F181" s="79"/>
      <c r="G181" s="81"/>
      <c r="H181" s="83"/>
      <c r="I181" s="15"/>
      <c r="J181" s="15"/>
      <c r="K181" s="102"/>
      <c r="L181" s="43">
        <v>234266.76000000004</v>
      </c>
      <c r="M181" s="14" t="s">
        <v>244</v>
      </c>
      <c r="N181" s="19" t="s">
        <v>434</v>
      </c>
      <c r="O181" s="13" t="s">
        <v>435</v>
      </c>
      <c r="P181" s="14">
        <v>365</v>
      </c>
      <c r="Q181" s="14">
        <v>31</v>
      </c>
      <c r="R181" s="14">
        <v>28</v>
      </c>
      <c r="S181" s="14">
        <v>31</v>
      </c>
      <c r="T181" s="14">
        <v>30</v>
      </c>
      <c r="U181" s="14">
        <v>31</v>
      </c>
      <c r="V181" s="14">
        <v>30</v>
      </c>
      <c r="W181" s="14">
        <v>31</v>
      </c>
      <c r="X181" s="14">
        <v>31</v>
      </c>
      <c r="Y181" s="14">
        <v>30</v>
      </c>
      <c r="Z181" s="14">
        <v>31</v>
      </c>
      <c r="AA181" s="14">
        <v>30</v>
      </c>
      <c r="AB181" s="18">
        <v>31</v>
      </c>
    </row>
    <row r="182" spans="2:28" ht="25.5" x14ac:dyDescent="0.2">
      <c r="B182" s="86"/>
      <c r="C182" s="89"/>
      <c r="D182" s="79"/>
      <c r="E182" s="79"/>
      <c r="F182" s="79"/>
      <c r="G182" s="81"/>
      <c r="H182" s="83"/>
      <c r="I182" s="15"/>
      <c r="J182" s="15"/>
      <c r="K182" s="102"/>
      <c r="L182" s="43">
        <v>234266.76000000004</v>
      </c>
      <c r="M182" s="14" t="s">
        <v>247</v>
      </c>
      <c r="N182" s="19" t="s">
        <v>436</v>
      </c>
      <c r="O182" s="13" t="s">
        <v>437</v>
      </c>
      <c r="P182" s="14">
        <v>36</v>
      </c>
      <c r="Q182" s="14">
        <v>3</v>
      </c>
      <c r="R182" s="14">
        <v>3</v>
      </c>
      <c r="S182" s="14">
        <v>3</v>
      </c>
      <c r="T182" s="14">
        <v>3</v>
      </c>
      <c r="U182" s="14">
        <v>3</v>
      </c>
      <c r="V182" s="14">
        <v>3</v>
      </c>
      <c r="W182" s="14">
        <v>3</v>
      </c>
      <c r="X182" s="14">
        <v>3</v>
      </c>
      <c r="Y182" s="14">
        <v>3</v>
      </c>
      <c r="Z182" s="14">
        <v>3</v>
      </c>
      <c r="AA182" s="14">
        <v>3</v>
      </c>
      <c r="AB182" s="18">
        <v>3</v>
      </c>
    </row>
    <row r="183" spans="2:28" ht="25.5" x14ac:dyDescent="0.2">
      <c r="B183" s="86"/>
      <c r="C183" s="89"/>
      <c r="D183" s="79"/>
      <c r="E183" s="79"/>
      <c r="F183" s="79"/>
      <c r="G183" s="81"/>
      <c r="H183" s="83"/>
      <c r="I183" s="15"/>
      <c r="J183" s="15"/>
      <c r="K183" s="101"/>
      <c r="L183" s="43">
        <v>234266.76000000004</v>
      </c>
      <c r="M183" s="14" t="s">
        <v>249</v>
      </c>
      <c r="N183" s="19" t="s">
        <v>438</v>
      </c>
      <c r="O183" s="13" t="s">
        <v>439</v>
      </c>
      <c r="P183" s="14">
        <v>48</v>
      </c>
      <c r="Q183" s="14">
        <v>4</v>
      </c>
      <c r="R183" s="14">
        <v>4</v>
      </c>
      <c r="S183" s="14">
        <v>4</v>
      </c>
      <c r="T183" s="14">
        <v>4</v>
      </c>
      <c r="U183" s="14">
        <v>4</v>
      </c>
      <c r="V183" s="14">
        <v>4</v>
      </c>
      <c r="W183" s="14">
        <v>4</v>
      </c>
      <c r="X183" s="14">
        <v>4</v>
      </c>
      <c r="Y183" s="14">
        <v>4</v>
      </c>
      <c r="Z183" s="14">
        <v>4</v>
      </c>
      <c r="AA183" s="14">
        <v>4</v>
      </c>
      <c r="AB183" s="18">
        <v>4</v>
      </c>
    </row>
    <row r="184" spans="2:28" ht="12.75" x14ac:dyDescent="0.2">
      <c r="B184" s="86"/>
      <c r="C184" s="89"/>
      <c r="D184" s="79"/>
      <c r="E184" s="79">
        <v>50</v>
      </c>
      <c r="F184" s="79" t="s">
        <v>790</v>
      </c>
      <c r="G184" s="81" t="s">
        <v>302</v>
      </c>
      <c r="H184" s="83" t="s">
        <v>440</v>
      </c>
      <c r="I184" s="15"/>
      <c r="J184" s="15"/>
      <c r="K184" s="100">
        <f>SUM(L184:L187)</f>
        <v>1292941.6200000001</v>
      </c>
      <c r="L184" s="43">
        <v>1264008.8999999999</v>
      </c>
      <c r="M184" s="14" t="s">
        <v>304</v>
      </c>
      <c r="N184" s="19" t="s">
        <v>141</v>
      </c>
      <c r="O184" s="13" t="s">
        <v>385</v>
      </c>
      <c r="P184" s="14">
        <v>25</v>
      </c>
      <c r="Q184" s="14">
        <v>2</v>
      </c>
      <c r="R184" s="14">
        <v>2</v>
      </c>
      <c r="S184" s="14">
        <v>2</v>
      </c>
      <c r="T184" s="14">
        <v>2</v>
      </c>
      <c r="U184" s="14">
        <v>2</v>
      </c>
      <c r="V184" s="14">
        <v>2</v>
      </c>
      <c r="W184" s="14">
        <v>2</v>
      </c>
      <c r="X184" s="14">
        <v>2</v>
      </c>
      <c r="Y184" s="14">
        <v>2</v>
      </c>
      <c r="Z184" s="14">
        <v>2</v>
      </c>
      <c r="AA184" s="14">
        <v>2</v>
      </c>
      <c r="AB184" s="18">
        <v>3</v>
      </c>
    </row>
    <row r="185" spans="2:28" ht="38.25" x14ac:dyDescent="0.2">
      <c r="B185" s="86"/>
      <c r="C185" s="89"/>
      <c r="D185" s="79"/>
      <c r="E185" s="79"/>
      <c r="F185" s="79"/>
      <c r="G185" s="81"/>
      <c r="H185" s="83"/>
      <c r="I185" s="15"/>
      <c r="J185" s="15"/>
      <c r="K185" s="102"/>
      <c r="L185" s="43">
        <v>1840.32</v>
      </c>
      <c r="M185" s="14" t="s">
        <v>305</v>
      </c>
      <c r="N185" s="19" t="s">
        <v>441</v>
      </c>
      <c r="O185" s="13" t="s">
        <v>442</v>
      </c>
      <c r="P185" s="14">
        <v>307</v>
      </c>
      <c r="Q185" s="14">
        <v>26</v>
      </c>
      <c r="R185" s="14">
        <v>23</v>
      </c>
      <c r="S185" s="14">
        <v>25</v>
      </c>
      <c r="T185" s="14">
        <v>26</v>
      </c>
      <c r="U185" s="14">
        <v>26</v>
      </c>
      <c r="V185" s="14">
        <v>26</v>
      </c>
      <c r="W185" s="14">
        <v>27</v>
      </c>
      <c r="X185" s="14">
        <v>26</v>
      </c>
      <c r="Y185" s="14">
        <v>26</v>
      </c>
      <c r="Z185" s="14">
        <v>26</v>
      </c>
      <c r="AA185" s="14">
        <v>24</v>
      </c>
      <c r="AB185" s="18">
        <v>26</v>
      </c>
    </row>
    <row r="186" spans="2:28" ht="12.75" x14ac:dyDescent="0.2">
      <c r="B186" s="86"/>
      <c r="C186" s="89"/>
      <c r="D186" s="79"/>
      <c r="E186" s="79"/>
      <c r="F186" s="79"/>
      <c r="G186" s="81"/>
      <c r="H186" s="83"/>
      <c r="I186" s="15"/>
      <c r="J186" s="15"/>
      <c r="K186" s="102"/>
      <c r="L186" s="43">
        <v>1840.32</v>
      </c>
      <c r="M186" s="14" t="s">
        <v>308</v>
      </c>
      <c r="N186" s="36" t="s">
        <v>443</v>
      </c>
      <c r="O186" s="13" t="s">
        <v>444</v>
      </c>
      <c r="P186" s="14">
        <v>307</v>
      </c>
      <c r="Q186" s="14">
        <v>26</v>
      </c>
      <c r="R186" s="14">
        <v>23</v>
      </c>
      <c r="S186" s="14">
        <v>25</v>
      </c>
      <c r="T186" s="14">
        <v>26</v>
      </c>
      <c r="U186" s="14">
        <v>26</v>
      </c>
      <c r="V186" s="14">
        <v>26</v>
      </c>
      <c r="W186" s="14">
        <v>27</v>
      </c>
      <c r="X186" s="14">
        <v>26</v>
      </c>
      <c r="Y186" s="14">
        <v>26</v>
      </c>
      <c r="Z186" s="14">
        <v>26</v>
      </c>
      <c r="AA186" s="14">
        <v>24</v>
      </c>
      <c r="AB186" s="18">
        <v>26</v>
      </c>
    </row>
    <row r="187" spans="2:28" ht="25.5" x14ac:dyDescent="0.2">
      <c r="B187" s="86"/>
      <c r="C187" s="89"/>
      <c r="D187" s="79"/>
      <c r="E187" s="79"/>
      <c r="F187" s="79"/>
      <c r="G187" s="81"/>
      <c r="H187" s="83"/>
      <c r="I187" s="15"/>
      <c r="J187" s="15"/>
      <c r="K187" s="101"/>
      <c r="L187" s="43">
        <v>25252.080000000002</v>
      </c>
      <c r="M187" s="14" t="s">
        <v>311</v>
      </c>
      <c r="N187" s="36" t="s">
        <v>445</v>
      </c>
      <c r="O187" s="13" t="s">
        <v>446</v>
      </c>
      <c r="P187" s="14">
        <v>24</v>
      </c>
      <c r="Q187" s="14">
        <v>2</v>
      </c>
      <c r="R187" s="14">
        <v>2</v>
      </c>
      <c r="S187" s="14">
        <v>2</v>
      </c>
      <c r="T187" s="14">
        <v>2</v>
      </c>
      <c r="U187" s="14">
        <v>2</v>
      </c>
      <c r="V187" s="14">
        <v>2</v>
      </c>
      <c r="W187" s="14">
        <v>2</v>
      </c>
      <c r="X187" s="14">
        <v>2</v>
      </c>
      <c r="Y187" s="14">
        <v>2</v>
      </c>
      <c r="Z187" s="14">
        <v>2</v>
      </c>
      <c r="AA187" s="14">
        <v>2</v>
      </c>
      <c r="AB187" s="18">
        <v>2</v>
      </c>
    </row>
    <row r="188" spans="2:28" ht="12.75" x14ac:dyDescent="0.2">
      <c r="B188" s="86"/>
      <c r="C188" s="89"/>
      <c r="D188" s="79"/>
      <c r="E188" s="79">
        <v>27</v>
      </c>
      <c r="F188" s="79" t="s">
        <v>791</v>
      </c>
      <c r="G188" s="81" t="s">
        <v>325</v>
      </c>
      <c r="H188" s="83" t="s">
        <v>447</v>
      </c>
      <c r="I188" s="15"/>
      <c r="J188" s="15"/>
      <c r="K188" s="100">
        <f>SUM(L188:L193)</f>
        <v>1182451.4499999997</v>
      </c>
      <c r="L188" s="43">
        <v>727859.04999999993</v>
      </c>
      <c r="M188" s="14" t="s">
        <v>327</v>
      </c>
      <c r="N188" s="19" t="s">
        <v>141</v>
      </c>
      <c r="O188" s="13" t="s">
        <v>385</v>
      </c>
      <c r="P188" s="14">
        <v>25</v>
      </c>
      <c r="Q188" s="14">
        <v>2</v>
      </c>
      <c r="R188" s="14">
        <v>2</v>
      </c>
      <c r="S188" s="14">
        <v>2</v>
      </c>
      <c r="T188" s="14">
        <v>2</v>
      </c>
      <c r="U188" s="14">
        <v>2</v>
      </c>
      <c r="V188" s="14">
        <v>2</v>
      </c>
      <c r="W188" s="14">
        <v>2</v>
      </c>
      <c r="X188" s="14">
        <v>2</v>
      </c>
      <c r="Y188" s="14">
        <v>2</v>
      </c>
      <c r="Z188" s="14">
        <v>2</v>
      </c>
      <c r="AA188" s="14">
        <v>2</v>
      </c>
      <c r="AB188" s="18">
        <v>3</v>
      </c>
    </row>
    <row r="189" spans="2:28" ht="12.75" x14ac:dyDescent="0.2">
      <c r="B189" s="86"/>
      <c r="C189" s="89"/>
      <c r="D189" s="79"/>
      <c r="E189" s="79"/>
      <c r="F189" s="79"/>
      <c r="G189" s="81"/>
      <c r="H189" s="83"/>
      <c r="I189" s="15"/>
      <c r="J189" s="15"/>
      <c r="K189" s="102"/>
      <c r="L189" s="43">
        <v>90918.479999999981</v>
      </c>
      <c r="M189" s="14" t="s">
        <v>328</v>
      </c>
      <c r="N189" s="19" t="s">
        <v>448</v>
      </c>
      <c r="O189" s="13" t="s">
        <v>449</v>
      </c>
      <c r="P189" s="14">
        <v>12</v>
      </c>
      <c r="Q189" s="14">
        <v>1</v>
      </c>
      <c r="R189" s="14">
        <v>1</v>
      </c>
      <c r="S189" s="14">
        <v>1</v>
      </c>
      <c r="T189" s="14">
        <v>1</v>
      </c>
      <c r="U189" s="14">
        <v>1</v>
      </c>
      <c r="V189" s="14">
        <v>1</v>
      </c>
      <c r="W189" s="14">
        <v>1</v>
      </c>
      <c r="X189" s="14">
        <v>1</v>
      </c>
      <c r="Y189" s="14">
        <v>1</v>
      </c>
      <c r="Z189" s="14">
        <v>1</v>
      </c>
      <c r="AA189" s="14">
        <v>1</v>
      </c>
      <c r="AB189" s="18">
        <v>1</v>
      </c>
    </row>
    <row r="190" spans="2:28" ht="25.5" x14ac:dyDescent="0.2">
      <c r="B190" s="86"/>
      <c r="C190" s="89"/>
      <c r="D190" s="79"/>
      <c r="E190" s="79"/>
      <c r="F190" s="79"/>
      <c r="G190" s="81"/>
      <c r="H190" s="83"/>
      <c r="I190" s="15"/>
      <c r="J190" s="15"/>
      <c r="K190" s="102"/>
      <c r="L190" s="43">
        <v>90918.479999999981</v>
      </c>
      <c r="M190" s="14" t="s">
        <v>331</v>
      </c>
      <c r="N190" s="19" t="s">
        <v>450</v>
      </c>
      <c r="O190" s="13" t="s">
        <v>451</v>
      </c>
      <c r="P190" s="14">
        <v>47</v>
      </c>
      <c r="Q190" s="14">
        <v>2</v>
      </c>
      <c r="R190" s="14">
        <v>3</v>
      </c>
      <c r="S190" s="14">
        <v>5</v>
      </c>
      <c r="T190" s="14">
        <v>5</v>
      </c>
      <c r="U190" s="14">
        <v>3</v>
      </c>
      <c r="V190" s="14">
        <v>4</v>
      </c>
      <c r="W190" s="14">
        <v>5</v>
      </c>
      <c r="X190" s="14">
        <v>5</v>
      </c>
      <c r="Y190" s="14">
        <v>5</v>
      </c>
      <c r="Z190" s="14">
        <v>3</v>
      </c>
      <c r="AA190" s="14">
        <v>5</v>
      </c>
      <c r="AB190" s="18">
        <v>2</v>
      </c>
    </row>
    <row r="191" spans="2:28" ht="12.75" x14ac:dyDescent="0.2">
      <c r="B191" s="86"/>
      <c r="C191" s="89"/>
      <c r="D191" s="79"/>
      <c r="E191" s="79"/>
      <c r="F191" s="79"/>
      <c r="G191" s="81"/>
      <c r="H191" s="83"/>
      <c r="I191" s="15"/>
      <c r="J191" s="15"/>
      <c r="K191" s="102"/>
      <c r="L191" s="43">
        <v>90918.479999999981</v>
      </c>
      <c r="M191" s="14" t="s">
        <v>334</v>
      </c>
      <c r="N191" s="19" t="s">
        <v>452</v>
      </c>
      <c r="O191" s="13" t="s">
        <v>453</v>
      </c>
      <c r="P191" s="14">
        <v>12</v>
      </c>
      <c r="Q191" s="14">
        <v>1</v>
      </c>
      <c r="R191" s="14">
        <v>1</v>
      </c>
      <c r="S191" s="14">
        <v>1</v>
      </c>
      <c r="T191" s="14">
        <v>1</v>
      </c>
      <c r="U191" s="14">
        <v>1</v>
      </c>
      <c r="V191" s="14">
        <v>1</v>
      </c>
      <c r="W191" s="14">
        <v>1</v>
      </c>
      <c r="X191" s="14">
        <v>1</v>
      </c>
      <c r="Y191" s="14">
        <v>1</v>
      </c>
      <c r="Z191" s="14">
        <v>1</v>
      </c>
      <c r="AA191" s="14">
        <v>1</v>
      </c>
      <c r="AB191" s="18">
        <v>1</v>
      </c>
    </row>
    <row r="192" spans="2:28" ht="25.5" x14ac:dyDescent="0.2">
      <c r="B192" s="86"/>
      <c r="C192" s="89"/>
      <c r="D192" s="79"/>
      <c r="E192" s="79"/>
      <c r="F192" s="79"/>
      <c r="G192" s="81"/>
      <c r="H192" s="83"/>
      <c r="I192" s="15"/>
      <c r="J192" s="15"/>
      <c r="K192" s="102"/>
      <c r="L192" s="43">
        <v>90918.479999999981</v>
      </c>
      <c r="M192" s="14" t="s">
        <v>331</v>
      </c>
      <c r="N192" s="19" t="s">
        <v>454</v>
      </c>
      <c r="O192" s="13" t="s">
        <v>455</v>
      </c>
      <c r="P192" s="14">
        <v>17</v>
      </c>
      <c r="Q192" s="14">
        <v>2</v>
      </c>
      <c r="R192" s="14">
        <v>1</v>
      </c>
      <c r="S192" s="14">
        <v>2</v>
      </c>
      <c r="T192" s="14">
        <v>1</v>
      </c>
      <c r="U192" s="14">
        <v>2</v>
      </c>
      <c r="V192" s="14">
        <v>2</v>
      </c>
      <c r="W192" s="14">
        <v>2</v>
      </c>
      <c r="X192" s="14">
        <v>2</v>
      </c>
      <c r="Y192" s="14">
        <v>1</v>
      </c>
      <c r="Z192" s="14">
        <v>1</v>
      </c>
      <c r="AA192" s="14"/>
      <c r="AB192" s="18">
        <v>1</v>
      </c>
    </row>
    <row r="193" spans="2:28" ht="38.25" x14ac:dyDescent="0.2">
      <c r="B193" s="86"/>
      <c r="C193" s="89"/>
      <c r="D193" s="79"/>
      <c r="E193" s="79"/>
      <c r="F193" s="79"/>
      <c r="G193" s="81"/>
      <c r="H193" s="83"/>
      <c r="I193" s="15"/>
      <c r="J193" s="15"/>
      <c r="K193" s="101"/>
      <c r="L193" s="43">
        <v>90918.479999999981</v>
      </c>
      <c r="M193" s="14" t="s">
        <v>337</v>
      </c>
      <c r="N193" s="19" t="s">
        <v>456</v>
      </c>
      <c r="O193" s="13" t="s">
        <v>457</v>
      </c>
      <c r="P193" s="14">
        <v>14</v>
      </c>
      <c r="Q193" s="14"/>
      <c r="R193" s="14">
        <v>1</v>
      </c>
      <c r="S193" s="14">
        <v>1</v>
      </c>
      <c r="T193" s="14">
        <v>1</v>
      </c>
      <c r="U193" s="14">
        <v>1</v>
      </c>
      <c r="V193" s="14">
        <v>1</v>
      </c>
      <c r="W193" s="14">
        <v>1</v>
      </c>
      <c r="X193" s="14"/>
      <c r="Y193" s="14">
        <v>2</v>
      </c>
      <c r="Z193" s="14">
        <v>3</v>
      </c>
      <c r="AA193" s="14">
        <v>1</v>
      </c>
      <c r="AB193" s="18">
        <v>2</v>
      </c>
    </row>
    <row r="194" spans="2:28" ht="27.6" customHeight="1" x14ac:dyDescent="0.2">
      <c r="B194" s="86"/>
      <c r="C194" s="89"/>
      <c r="D194" s="79"/>
      <c r="E194" s="79">
        <v>56</v>
      </c>
      <c r="F194" s="79" t="s">
        <v>792</v>
      </c>
      <c r="G194" s="81" t="s">
        <v>340</v>
      </c>
      <c r="H194" s="83" t="s">
        <v>458</v>
      </c>
      <c r="I194" s="15"/>
      <c r="J194" s="15"/>
      <c r="K194" s="100">
        <f>SUM(L194:L201)</f>
        <v>316814.94000000006</v>
      </c>
      <c r="L194" s="43">
        <v>193249.74000000002</v>
      </c>
      <c r="M194" s="14" t="s">
        <v>342</v>
      </c>
      <c r="N194" s="19" t="s">
        <v>141</v>
      </c>
      <c r="O194" s="13" t="s">
        <v>385</v>
      </c>
      <c r="P194" s="14">
        <v>25</v>
      </c>
      <c r="Q194" s="14">
        <v>2</v>
      </c>
      <c r="R194" s="14">
        <v>2</v>
      </c>
      <c r="S194" s="14">
        <v>2</v>
      </c>
      <c r="T194" s="14">
        <v>2</v>
      </c>
      <c r="U194" s="14">
        <v>2</v>
      </c>
      <c r="V194" s="14">
        <v>2</v>
      </c>
      <c r="W194" s="14">
        <v>2</v>
      </c>
      <c r="X194" s="14">
        <v>2</v>
      </c>
      <c r="Y194" s="14">
        <v>2</v>
      </c>
      <c r="Z194" s="14">
        <v>2</v>
      </c>
      <c r="AA194" s="14">
        <v>2</v>
      </c>
      <c r="AB194" s="18">
        <v>3</v>
      </c>
    </row>
    <row r="195" spans="2:28" ht="25.5" x14ac:dyDescent="0.2">
      <c r="B195" s="86"/>
      <c r="C195" s="89"/>
      <c r="D195" s="79"/>
      <c r="E195" s="79"/>
      <c r="F195" s="79"/>
      <c r="G195" s="81"/>
      <c r="H195" s="83"/>
      <c r="I195" s="15"/>
      <c r="J195" s="15"/>
      <c r="K195" s="102"/>
      <c r="L195" s="43">
        <v>17652.12</v>
      </c>
      <c r="M195" s="14" t="s">
        <v>343</v>
      </c>
      <c r="N195" s="19" t="s">
        <v>459</v>
      </c>
      <c r="O195" s="13" t="s">
        <v>460</v>
      </c>
      <c r="P195" s="14">
        <v>12</v>
      </c>
      <c r="Q195" s="14">
        <v>1</v>
      </c>
      <c r="R195" s="14">
        <v>1</v>
      </c>
      <c r="S195" s="14">
        <v>1</v>
      </c>
      <c r="T195" s="14">
        <v>1</v>
      </c>
      <c r="U195" s="14">
        <v>1</v>
      </c>
      <c r="V195" s="14">
        <v>1</v>
      </c>
      <c r="W195" s="14">
        <v>1</v>
      </c>
      <c r="X195" s="14">
        <v>1</v>
      </c>
      <c r="Y195" s="14">
        <v>1</v>
      </c>
      <c r="Z195" s="14">
        <v>1</v>
      </c>
      <c r="AA195" s="14">
        <v>1</v>
      </c>
      <c r="AB195" s="18">
        <v>1</v>
      </c>
    </row>
    <row r="196" spans="2:28" ht="25.5" x14ac:dyDescent="0.2">
      <c r="B196" s="86"/>
      <c r="C196" s="89"/>
      <c r="D196" s="79"/>
      <c r="E196" s="79"/>
      <c r="F196" s="79"/>
      <c r="G196" s="81"/>
      <c r="H196" s="83"/>
      <c r="I196" s="15"/>
      <c r="J196" s="15"/>
      <c r="K196" s="102"/>
      <c r="L196" s="43">
        <v>17652.12</v>
      </c>
      <c r="M196" s="14" t="s">
        <v>346</v>
      </c>
      <c r="N196" s="19" t="s">
        <v>461</v>
      </c>
      <c r="O196" s="13" t="s">
        <v>462</v>
      </c>
      <c r="P196" s="14">
        <v>1095</v>
      </c>
      <c r="Q196" s="14">
        <v>93</v>
      </c>
      <c r="R196" s="14">
        <v>84</v>
      </c>
      <c r="S196" s="14">
        <v>93</v>
      </c>
      <c r="T196" s="14">
        <v>90</v>
      </c>
      <c r="U196" s="14">
        <v>93</v>
      </c>
      <c r="V196" s="14">
        <v>90</v>
      </c>
      <c r="W196" s="14">
        <v>93</v>
      </c>
      <c r="X196" s="14">
        <v>93</v>
      </c>
      <c r="Y196" s="14">
        <v>90</v>
      </c>
      <c r="Z196" s="14">
        <v>93</v>
      </c>
      <c r="AA196" s="14">
        <v>90</v>
      </c>
      <c r="AB196" s="18">
        <v>93</v>
      </c>
    </row>
    <row r="197" spans="2:28" ht="25.5" x14ac:dyDescent="0.2">
      <c r="B197" s="86"/>
      <c r="C197" s="89"/>
      <c r="D197" s="79"/>
      <c r="E197" s="79"/>
      <c r="F197" s="79"/>
      <c r="G197" s="81"/>
      <c r="H197" s="83"/>
      <c r="I197" s="15"/>
      <c r="J197" s="15"/>
      <c r="K197" s="102"/>
      <c r="L197" s="43">
        <v>17652.12</v>
      </c>
      <c r="M197" s="14" t="s">
        <v>349</v>
      </c>
      <c r="N197" s="19" t="s">
        <v>463</v>
      </c>
      <c r="O197" s="13" t="s">
        <v>464</v>
      </c>
      <c r="P197" s="14">
        <v>12</v>
      </c>
      <c r="Q197" s="14">
        <v>1</v>
      </c>
      <c r="R197" s="14">
        <v>1</v>
      </c>
      <c r="S197" s="14">
        <v>1</v>
      </c>
      <c r="T197" s="14">
        <v>1</v>
      </c>
      <c r="U197" s="14">
        <v>1</v>
      </c>
      <c r="V197" s="14">
        <v>1</v>
      </c>
      <c r="W197" s="14">
        <v>1</v>
      </c>
      <c r="X197" s="14">
        <v>1</v>
      </c>
      <c r="Y197" s="14">
        <v>1</v>
      </c>
      <c r="Z197" s="14">
        <v>1</v>
      </c>
      <c r="AA197" s="14">
        <v>1</v>
      </c>
      <c r="AB197" s="18">
        <v>1</v>
      </c>
    </row>
    <row r="198" spans="2:28" ht="38.25" x14ac:dyDescent="0.2">
      <c r="B198" s="86"/>
      <c r="C198" s="89"/>
      <c r="D198" s="79"/>
      <c r="E198" s="79"/>
      <c r="F198" s="79"/>
      <c r="G198" s="81"/>
      <c r="H198" s="83"/>
      <c r="I198" s="15"/>
      <c r="J198" s="15"/>
      <c r="K198" s="102"/>
      <c r="L198" s="43">
        <v>17652.240000000002</v>
      </c>
      <c r="M198" s="14" t="s">
        <v>465</v>
      </c>
      <c r="N198" s="19" t="s">
        <v>466</v>
      </c>
      <c r="O198" s="13" t="s">
        <v>467</v>
      </c>
      <c r="P198" s="14">
        <v>4</v>
      </c>
      <c r="Q198" s="14"/>
      <c r="R198" s="14"/>
      <c r="S198" s="14">
        <v>1</v>
      </c>
      <c r="T198" s="14"/>
      <c r="U198" s="14"/>
      <c r="V198" s="14">
        <v>1</v>
      </c>
      <c r="W198" s="14"/>
      <c r="X198" s="14"/>
      <c r="Y198" s="14">
        <v>1</v>
      </c>
      <c r="Z198" s="14"/>
      <c r="AA198" s="14"/>
      <c r="AB198" s="18">
        <v>1</v>
      </c>
    </row>
    <row r="199" spans="2:28" ht="25.5" x14ac:dyDescent="0.2">
      <c r="B199" s="86"/>
      <c r="C199" s="89"/>
      <c r="D199" s="79"/>
      <c r="E199" s="79"/>
      <c r="F199" s="79"/>
      <c r="G199" s="81"/>
      <c r="H199" s="83"/>
      <c r="I199" s="15"/>
      <c r="J199" s="15"/>
      <c r="K199" s="102"/>
      <c r="L199" s="43">
        <v>17652.12</v>
      </c>
      <c r="M199" s="14" t="s">
        <v>468</v>
      </c>
      <c r="N199" s="19" t="s">
        <v>469</v>
      </c>
      <c r="O199" s="13" t="s">
        <v>470</v>
      </c>
      <c r="P199" s="14">
        <v>365</v>
      </c>
      <c r="Q199" s="14">
        <v>31</v>
      </c>
      <c r="R199" s="14">
        <v>28</v>
      </c>
      <c r="S199" s="14">
        <v>31</v>
      </c>
      <c r="T199" s="14">
        <v>30</v>
      </c>
      <c r="U199" s="14">
        <v>31</v>
      </c>
      <c r="V199" s="14">
        <v>30</v>
      </c>
      <c r="W199" s="14">
        <v>31</v>
      </c>
      <c r="X199" s="14">
        <v>31</v>
      </c>
      <c r="Y199" s="14">
        <v>30</v>
      </c>
      <c r="Z199" s="14">
        <v>31</v>
      </c>
      <c r="AA199" s="14">
        <v>30</v>
      </c>
      <c r="AB199" s="18">
        <v>31</v>
      </c>
    </row>
    <row r="200" spans="2:28" ht="38.25" x14ac:dyDescent="0.2">
      <c r="B200" s="86"/>
      <c r="C200" s="89"/>
      <c r="D200" s="79"/>
      <c r="E200" s="79"/>
      <c r="F200" s="79"/>
      <c r="G200" s="81"/>
      <c r="H200" s="83"/>
      <c r="I200" s="15"/>
      <c r="J200" s="15"/>
      <c r="K200" s="102"/>
      <c r="L200" s="43">
        <v>17652.2</v>
      </c>
      <c r="M200" s="14" t="s">
        <v>471</v>
      </c>
      <c r="N200" s="19" t="s">
        <v>472</v>
      </c>
      <c r="O200" s="13" t="s">
        <v>473</v>
      </c>
      <c r="P200" s="14">
        <v>10</v>
      </c>
      <c r="Q200" s="14">
        <v>1</v>
      </c>
      <c r="R200" s="14">
        <v>1</v>
      </c>
      <c r="S200" s="14">
        <v>1</v>
      </c>
      <c r="T200" s="14">
        <v>1</v>
      </c>
      <c r="U200" s="14">
        <v>1</v>
      </c>
      <c r="V200" s="14">
        <v>1</v>
      </c>
      <c r="W200" s="14">
        <v>1</v>
      </c>
      <c r="X200" s="14"/>
      <c r="Y200" s="14">
        <v>1</v>
      </c>
      <c r="Z200" s="14">
        <v>1</v>
      </c>
      <c r="AA200" s="14">
        <v>1</v>
      </c>
      <c r="AB200" s="18"/>
    </row>
    <row r="201" spans="2:28" ht="51.75" thickBot="1" x14ac:dyDescent="0.25">
      <c r="B201" s="87"/>
      <c r="C201" s="90"/>
      <c r="D201" s="80"/>
      <c r="E201" s="80"/>
      <c r="F201" s="80"/>
      <c r="G201" s="82"/>
      <c r="H201" s="84"/>
      <c r="I201" s="24"/>
      <c r="J201" s="24"/>
      <c r="K201" s="103"/>
      <c r="L201" s="44">
        <v>17652.28</v>
      </c>
      <c r="M201" s="23" t="s">
        <v>474</v>
      </c>
      <c r="N201" s="25" t="s">
        <v>475</v>
      </c>
      <c r="O201" s="22" t="s">
        <v>476</v>
      </c>
      <c r="P201" s="23">
        <v>2</v>
      </c>
      <c r="Q201" s="23"/>
      <c r="R201" s="23"/>
      <c r="S201" s="23">
        <v>1</v>
      </c>
      <c r="T201" s="23"/>
      <c r="U201" s="23"/>
      <c r="V201" s="23"/>
      <c r="W201" s="23"/>
      <c r="X201" s="23"/>
      <c r="Y201" s="23"/>
      <c r="Z201" s="23"/>
      <c r="AA201" s="23">
        <v>1</v>
      </c>
      <c r="AB201" s="26"/>
    </row>
    <row r="202" spans="2:28" ht="13.5" thickBot="1" x14ac:dyDescent="0.25">
      <c r="B202" s="30"/>
      <c r="C202" s="40"/>
      <c r="D202" s="40"/>
      <c r="E202" s="40"/>
      <c r="F202" s="40"/>
      <c r="G202" s="61"/>
      <c r="H202" s="40"/>
      <c r="I202" s="40"/>
      <c r="J202" s="40"/>
      <c r="K202" s="62">
        <f>SUM(K153:K201)</f>
        <v>98440734.449999988</v>
      </c>
      <c r="L202" s="33"/>
      <c r="M202" s="30"/>
      <c r="N202" s="63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 spans="2:28" ht="12.75" x14ac:dyDescent="0.2">
      <c r="B203" s="85" t="s">
        <v>477</v>
      </c>
      <c r="C203" s="88" t="s">
        <v>478</v>
      </c>
      <c r="D203" s="112">
        <f>SUM(K203:K282)</f>
        <v>28293530.050000001</v>
      </c>
      <c r="E203" s="91">
        <v>44</v>
      </c>
      <c r="F203" s="91" t="s">
        <v>793</v>
      </c>
      <c r="G203" s="92" t="s">
        <v>23</v>
      </c>
      <c r="H203" s="93" t="s">
        <v>479</v>
      </c>
      <c r="I203" s="9"/>
      <c r="J203" s="9"/>
      <c r="K203" s="111">
        <f>SUM(L203:L208)</f>
        <v>492021.35000000003</v>
      </c>
      <c r="L203" s="42">
        <v>395846.57</v>
      </c>
      <c r="M203" s="8" t="s">
        <v>117</v>
      </c>
      <c r="N203" s="10" t="s">
        <v>141</v>
      </c>
      <c r="O203" s="7" t="s">
        <v>480</v>
      </c>
      <c r="P203" s="7">
        <v>25</v>
      </c>
      <c r="Q203" s="8">
        <v>2</v>
      </c>
      <c r="R203" s="8">
        <v>2</v>
      </c>
      <c r="S203" s="8">
        <v>2</v>
      </c>
      <c r="T203" s="8">
        <v>2</v>
      </c>
      <c r="U203" s="8">
        <v>2</v>
      </c>
      <c r="V203" s="8">
        <v>2</v>
      </c>
      <c r="W203" s="8">
        <v>2</v>
      </c>
      <c r="X203" s="8">
        <v>2</v>
      </c>
      <c r="Y203" s="8">
        <v>2</v>
      </c>
      <c r="Z203" s="8">
        <v>2</v>
      </c>
      <c r="AA203" s="8">
        <v>2</v>
      </c>
      <c r="AB203" s="11">
        <v>3</v>
      </c>
    </row>
    <row r="204" spans="2:28" ht="25.5" x14ac:dyDescent="0.2">
      <c r="B204" s="86"/>
      <c r="C204" s="89"/>
      <c r="D204" s="79"/>
      <c r="E204" s="79"/>
      <c r="F204" s="79"/>
      <c r="G204" s="81"/>
      <c r="H204" s="83"/>
      <c r="I204" s="15"/>
      <c r="J204" s="15"/>
      <c r="K204" s="102"/>
      <c r="L204" s="43">
        <v>19234.96</v>
      </c>
      <c r="M204" s="14" t="s">
        <v>143</v>
      </c>
      <c r="N204" s="19" t="s">
        <v>481</v>
      </c>
      <c r="O204" s="13" t="s">
        <v>482</v>
      </c>
      <c r="P204" s="13">
        <v>2</v>
      </c>
      <c r="Q204" s="14"/>
      <c r="R204" s="14"/>
      <c r="S204" s="14"/>
      <c r="T204" s="14">
        <v>1</v>
      </c>
      <c r="U204" s="14"/>
      <c r="V204" s="14">
        <v>1</v>
      </c>
      <c r="W204" s="14"/>
      <c r="X204" s="14"/>
      <c r="Y204" s="14"/>
      <c r="Z204" s="14"/>
      <c r="AA204" s="14"/>
      <c r="AB204" s="18"/>
    </row>
    <row r="205" spans="2:28" ht="25.5" x14ac:dyDescent="0.2">
      <c r="B205" s="86"/>
      <c r="C205" s="89"/>
      <c r="D205" s="79"/>
      <c r="E205" s="79"/>
      <c r="F205" s="79"/>
      <c r="G205" s="81"/>
      <c r="H205" s="83"/>
      <c r="I205" s="15"/>
      <c r="J205" s="15"/>
      <c r="K205" s="102"/>
      <c r="L205" s="43">
        <v>19234.969999999998</v>
      </c>
      <c r="M205" s="14" t="s">
        <v>146</v>
      </c>
      <c r="N205" s="19" t="s">
        <v>483</v>
      </c>
      <c r="O205" s="13" t="s">
        <v>484</v>
      </c>
      <c r="P205" s="13">
        <v>5</v>
      </c>
      <c r="Q205" s="14"/>
      <c r="R205" s="14"/>
      <c r="S205" s="14"/>
      <c r="T205" s="14">
        <v>2</v>
      </c>
      <c r="U205" s="14"/>
      <c r="V205" s="14">
        <v>2</v>
      </c>
      <c r="W205" s="14"/>
      <c r="X205" s="14"/>
      <c r="Y205" s="14">
        <v>1</v>
      </c>
      <c r="Z205" s="14"/>
      <c r="AA205" s="14"/>
      <c r="AB205" s="18"/>
    </row>
    <row r="206" spans="2:28" ht="38.25" x14ac:dyDescent="0.2">
      <c r="B206" s="86"/>
      <c r="C206" s="89"/>
      <c r="D206" s="79"/>
      <c r="E206" s="79"/>
      <c r="F206" s="79"/>
      <c r="G206" s="81"/>
      <c r="H206" s="83"/>
      <c r="I206" s="15"/>
      <c r="J206" s="15"/>
      <c r="K206" s="102"/>
      <c r="L206" s="43">
        <v>19234.95</v>
      </c>
      <c r="M206" s="14" t="s">
        <v>149</v>
      </c>
      <c r="N206" s="19" t="s">
        <v>485</v>
      </c>
      <c r="O206" s="13" t="s">
        <v>484</v>
      </c>
      <c r="P206" s="14">
        <v>1</v>
      </c>
      <c r="Q206" s="14"/>
      <c r="R206" s="14"/>
      <c r="S206" s="14">
        <v>1</v>
      </c>
      <c r="T206" s="14"/>
      <c r="U206" s="14"/>
      <c r="V206" s="14"/>
      <c r="W206" s="14"/>
      <c r="X206" s="14"/>
      <c r="Y206" s="14"/>
      <c r="Z206" s="14"/>
      <c r="AA206" s="14"/>
      <c r="AB206" s="18"/>
    </row>
    <row r="207" spans="2:28" ht="12.75" x14ac:dyDescent="0.2">
      <c r="B207" s="86"/>
      <c r="C207" s="89"/>
      <c r="D207" s="79"/>
      <c r="E207" s="79"/>
      <c r="F207" s="79"/>
      <c r="G207" s="81"/>
      <c r="H207" s="83"/>
      <c r="I207" s="15"/>
      <c r="J207" s="15"/>
      <c r="K207" s="102"/>
      <c r="L207" s="43">
        <v>19234.95</v>
      </c>
      <c r="M207" s="14" t="s">
        <v>152</v>
      </c>
      <c r="N207" s="19" t="s">
        <v>486</v>
      </c>
      <c r="O207" s="13" t="s">
        <v>484</v>
      </c>
      <c r="P207" s="14">
        <v>1</v>
      </c>
      <c r="Q207" s="14"/>
      <c r="R207" s="14"/>
      <c r="S207" s="14"/>
      <c r="T207" s="14"/>
      <c r="U207" s="14"/>
      <c r="V207" s="14">
        <v>1</v>
      </c>
      <c r="W207" s="14"/>
      <c r="X207" s="14"/>
      <c r="Y207" s="14"/>
      <c r="Z207" s="14"/>
      <c r="AA207" s="14"/>
      <c r="AB207" s="18"/>
    </row>
    <row r="208" spans="2:28" ht="12.75" x14ac:dyDescent="0.2">
      <c r="B208" s="86"/>
      <c r="C208" s="89"/>
      <c r="D208" s="79"/>
      <c r="E208" s="79"/>
      <c r="F208" s="79"/>
      <c r="G208" s="81"/>
      <c r="H208" s="83"/>
      <c r="I208" s="15"/>
      <c r="J208" s="15"/>
      <c r="K208" s="101"/>
      <c r="L208" s="43">
        <v>19234.95</v>
      </c>
      <c r="M208" s="14" t="s">
        <v>155</v>
      </c>
      <c r="N208" s="19" t="s">
        <v>487</v>
      </c>
      <c r="O208" s="13" t="s">
        <v>484</v>
      </c>
      <c r="P208" s="14">
        <v>1</v>
      </c>
      <c r="Q208" s="14"/>
      <c r="R208" s="14"/>
      <c r="S208" s="14"/>
      <c r="T208" s="14"/>
      <c r="U208" s="14"/>
      <c r="V208" s="14">
        <v>1</v>
      </c>
      <c r="W208" s="14"/>
      <c r="X208" s="14"/>
      <c r="Y208" s="14"/>
      <c r="Z208" s="14"/>
      <c r="AA208" s="14"/>
      <c r="AB208" s="18"/>
    </row>
    <row r="209" spans="2:28" ht="12.75" x14ac:dyDescent="0.2">
      <c r="B209" s="86"/>
      <c r="C209" s="89"/>
      <c r="D209" s="79"/>
      <c r="E209" s="79">
        <v>14</v>
      </c>
      <c r="F209" s="79" t="s">
        <v>794</v>
      </c>
      <c r="G209" s="81" t="s">
        <v>48</v>
      </c>
      <c r="H209" s="83" t="s">
        <v>488</v>
      </c>
      <c r="I209" s="15"/>
      <c r="J209" s="15"/>
      <c r="K209" s="100">
        <f>SUM(L209:L218)</f>
        <v>5438226.370000001</v>
      </c>
      <c r="L209" s="43">
        <v>2409247.9300000002</v>
      </c>
      <c r="M209" s="14" t="s">
        <v>159</v>
      </c>
      <c r="N209" s="19" t="s">
        <v>141</v>
      </c>
      <c r="O209" s="13" t="s">
        <v>480</v>
      </c>
      <c r="P209" s="14">
        <v>25</v>
      </c>
      <c r="Q209" s="14">
        <v>2</v>
      </c>
      <c r="R209" s="14">
        <v>2</v>
      </c>
      <c r="S209" s="14">
        <v>2</v>
      </c>
      <c r="T209" s="14">
        <v>2</v>
      </c>
      <c r="U209" s="14">
        <v>2</v>
      </c>
      <c r="V209" s="14">
        <v>2</v>
      </c>
      <c r="W209" s="14">
        <v>2</v>
      </c>
      <c r="X209" s="14">
        <v>2</v>
      </c>
      <c r="Y209" s="14">
        <v>2</v>
      </c>
      <c r="Z209" s="14">
        <v>2</v>
      </c>
      <c r="AA209" s="14">
        <v>2</v>
      </c>
      <c r="AB209" s="18">
        <v>3</v>
      </c>
    </row>
    <row r="210" spans="2:28" ht="12.75" x14ac:dyDescent="0.2">
      <c r="B210" s="86"/>
      <c r="C210" s="89"/>
      <c r="D210" s="79"/>
      <c r="E210" s="79"/>
      <c r="F210" s="79"/>
      <c r="G210" s="81"/>
      <c r="H210" s="83"/>
      <c r="I210" s="15"/>
      <c r="J210" s="15"/>
      <c r="K210" s="102"/>
      <c r="L210" s="43">
        <v>336553.14000000007</v>
      </c>
      <c r="M210" s="14" t="s">
        <v>160</v>
      </c>
      <c r="N210" s="19" t="s">
        <v>489</v>
      </c>
      <c r="O210" s="13" t="s">
        <v>490</v>
      </c>
      <c r="P210" s="14">
        <v>1</v>
      </c>
      <c r="Q210" s="14"/>
      <c r="R210" s="14"/>
      <c r="S210" s="14">
        <v>1</v>
      </c>
      <c r="T210" s="14"/>
      <c r="U210" s="14"/>
      <c r="V210" s="14"/>
      <c r="W210" s="14"/>
      <c r="X210" s="14"/>
      <c r="Y210" s="14"/>
      <c r="Z210" s="14"/>
      <c r="AA210" s="14"/>
      <c r="AB210" s="18"/>
    </row>
    <row r="211" spans="2:28" ht="12.75" x14ac:dyDescent="0.2">
      <c r="B211" s="86"/>
      <c r="C211" s="89"/>
      <c r="D211" s="79"/>
      <c r="E211" s="79"/>
      <c r="F211" s="79"/>
      <c r="G211" s="81"/>
      <c r="H211" s="83"/>
      <c r="I211" s="15"/>
      <c r="J211" s="15"/>
      <c r="K211" s="102"/>
      <c r="L211" s="43">
        <v>336553.14000000007</v>
      </c>
      <c r="M211" s="14" t="s">
        <v>163</v>
      </c>
      <c r="N211" s="19" t="s">
        <v>491</v>
      </c>
      <c r="O211" s="13" t="s">
        <v>492</v>
      </c>
      <c r="P211" s="14">
        <v>1</v>
      </c>
      <c r="Q211" s="14">
        <v>1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8"/>
    </row>
    <row r="212" spans="2:28" ht="25.5" x14ac:dyDescent="0.2">
      <c r="B212" s="86"/>
      <c r="C212" s="89"/>
      <c r="D212" s="79"/>
      <c r="E212" s="79"/>
      <c r="F212" s="79"/>
      <c r="G212" s="81"/>
      <c r="H212" s="83"/>
      <c r="I212" s="15"/>
      <c r="J212" s="15"/>
      <c r="K212" s="102"/>
      <c r="L212" s="43">
        <v>336553.14</v>
      </c>
      <c r="M212" s="14" t="s">
        <v>214</v>
      </c>
      <c r="N212" s="19" t="s">
        <v>493</v>
      </c>
      <c r="O212" s="13" t="s">
        <v>494</v>
      </c>
      <c r="P212" s="14">
        <v>3</v>
      </c>
      <c r="Q212" s="14"/>
      <c r="R212" s="14"/>
      <c r="S212" s="14">
        <v>1</v>
      </c>
      <c r="T212" s="14"/>
      <c r="U212" s="14"/>
      <c r="V212" s="14">
        <v>1</v>
      </c>
      <c r="W212" s="14"/>
      <c r="X212" s="14"/>
      <c r="Y212" s="14"/>
      <c r="Z212" s="14"/>
      <c r="AA212" s="14">
        <v>1</v>
      </c>
      <c r="AB212" s="18"/>
    </row>
    <row r="213" spans="2:28" ht="12.75" x14ac:dyDescent="0.2">
      <c r="B213" s="86"/>
      <c r="C213" s="89"/>
      <c r="D213" s="79"/>
      <c r="E213" s="79"/>
      <c r="F213" s="79"/>
      <c r="G213" s="81"/>
      <c r="H213" s="83"/>
      <c r="I213" s="15"/>
      <c r="J213" s="15"/>
      <c r="K213" s="102"/>
      <c r="L213" s="43">
        <v>336553.1999999999</v>
      </c>
      <c r="M213" s="14" t="s">
        <v>169</v>
      </c>
      <c r="N213" s="19" t="s">
        <v>817</v>
      </c>
      <c r="O213" s="13" t="s">
        <v>495</v>
      </c>
      <c r="P213" s="14">
        <v>96</v>
      </c>
      <c r="Q213" s="14">
        <v>8</v>
      </c>
      <c r="R213" s="14">
        <v>8</v>
      </c>
      <c r="S213" s="14">
        <v>8</v>
      </c>
      <c r="T213" s="14">
        <v>8</v>
      </c>
      <c r="U213" s="14">
        <v>8</v>
      </c>
      <c r="V213" s="14">
        <v>8</v>
      </c>
      <c r="W213" s="14">
        <v>8</v>
      </c>
      <c r="X213" s="14">
        <v>8</v>
      </c>
      <c r="Y213" s="14">
        <v>8</v>
      </c>
      <c r="Z213" s="14">
        <v>8</v>
      </c>
      <c r="AA213" s="14">
        <v>8</v>
      </c>
      <c r="AB213" s="18">
        <v>8</v>
      </c>
    </row>
    <row r="214" spans="2:28" ht="12.75" x14ac:dyDescent="0.2">
      <c r="B214" s="86"/>
      <c r="C214" s="89"/>
      <c r="D214" s="79"/>
      <c r="E214" s="79"/>
      <c r="F214" s="79"/>
      <c r="G214" s="81"/>
      <c r="H214" s="83"/>
      <c r="I214" s="15"/>
      <c r="J214" s="15"/>
      <c r="K214" s="102"/>
      <c r="L214" s="43">
        <v>336553.16000000009</v>
      </c>
      <c r="M214" s="14" t="s">
        <v>172</v>
      </c>
      <c r="N214" s="19" t="s">
        <v>496</v>
      </c>
      <c r="O214" s="13" t="s">
        <v>497</v>
      </c>
      <c r="P214" s="14">
        <v>2</v>
      </c>
      <c r="Q214" s="14"/>
      <c r="R214" s="14"/>
      <c r="S214" s="14">
        <v>1</v>
      </c>
      <c r="T214" s="14"/>
      <c r="U214" s="14"/>
      <c r="V214" s="14"/>
      <c r="W214" s="14"/>
      <c r="X214" s="14">
        <v>1</v>
      </c>
      <c r="Y214" s="14"/>
      <c r="Z214" s="14"/>
      <c r="AA214" s="14"/>
      <c r="AB214" s="18"/>
    </row>
    <row r="215" spans="2:28" ht="12.75" x14ac:dyDescent="0.2">
      <c r="B215" s="86"/>
      <c r="C215" s="89"/>
      <c r="D215" s="79"/>
      <c r="E215" s="79"/>
      <c r="F215" s="79"/>
      <c r="G215" s="81"/>
      <c r="H215" s="83"/>
      <c r="I215" s="15"/>
      <c r="J215" s="15"/>
      <c r="K215" s="102"/>
      <c r="L215" s="43">
        <v>336553.14000000007</v>
      </c>
      <c r="M215" s="14" t="s">
        <v>498</v>
      </c>
      <c r="N215" s="19" t="s">
        <v>499</v>
      </c>
      <c r="O215" s="13" t="s">
        <v>500</v>
      </c>
      <c r="P215" s="14">
        <v>1</v>
      </c>
      <c r="Q215" s="14"/>
      <c r="R215" s="14"/>
      <c r="S215" s="14">
        <v>1</v>
      </c>
      <c r="T215" s="14"/>
      <c r="U215" s="14"/>
      <c r="V215" s="14"/>
      <c r="W215" s="14"/>
      <c r="X215" s="14"/>
      <c r="Y215" s="14"/>
      <c r="Z215" s="14"/>
      <c r="AA215" s="14"/>
      <c r="AB215" s="18"/>
    </row>
    <row r="216" spans="2:28" ht="25.5" x14ac:dyDescent="0.2">
      <c r="B216" s="86"/>
      <c r="C216" s="89"/>
      <c r="D216" s="79"/>
      <c r="E216" s="79"/>
      <c r="F216" s="79"/>
      <c r="G216" s="81"/>
      <c r="H216" s="83"/>
      <c r="I216" s="15"/>
      <c r="J216" s="15"/>
      <c r="K216" s="102"/>
      <c r="L216" s="43">
        <v>336553.12000000005</v>
      </c>
      <c r="M216" s="14" t="s">
        <v>501</v>
      </c>
      <c r="N216" s="19" t="s">
        <v>502</v>
      </c>
      <c r="O216" s="13" t="s">
        <v>503</v>
      </c>
      <c r="P216" s="14">
        <v>4</v>
      </c>
      <c r="Q216" s="14"/>
      <c r="R216" s="14"/>
      <c r="S216" s="14">
        <v>1</v>
      </c>
      <c r="T216" s="14"/>
      <c r="U216" s="14"/>
      <c r="V216" s="14">
        <v>1</v>
      </c>
      <c r="W216" s="14"/>
      <c r="X216" s="14"/>
      <c r="Y216" s="14">
        <v>1</v>
      </c>
      <c r="Z216" s="14"/>
      <c r="AA216" s="14"/>
      <c r="AB216" s="18">
        <v>1</v>
      </c>
    </row>
    <row r="217" spans="2:28" ht="25.5" x14ac:dyDescent="0.2">
      <c r="B217" s="86"/>
      <c r="C217" s="89"/>
      <c r="D217" s="79"/>
      <c r="E217" s="79"/>
      <c r="F217" s="79"/>
      <c r="G217" s="81"/>
      <c r="H217" s="83"/>
      <c r="I217" s="15"/>
      <c r="J217" s="15"/>
      <c r="K217" s="102"/>
      <c r="L217" s="43">
        <v>336553.1999999999</v>
      </c>
      <c r="M217" s="14" t="s">
        <v>504</v>
      </c>
      <c r="N217" s="19" t="s">
        <v>505</v>
      </c>
      <c r="O217" s="13" t="s">
        <v>506</v>
      </c>
      <c r="P217" s="14">
        <v>12</v>
      </c>
      <c r="Q217" s="14">
        <v>1</v>
      </c>
      <c r="R217" s="14">
        <v>1</v>
      </c>
      <c r="S217" s="14">
        <v>1</v>
      </c>
      <c r="T217" s="14">
        <v>1</v>
      </c>
      <c r="U217" s="14">
        <v>1</v>
      </c>
      <c r="V217" s="14">
        <v>1</v>
      </c>
      <c r="W217" s="14">
        <v>1</v>
      </c>
      <c r="X217" s="14">
        <v>1</v>
      </c>
      <c r="Y217" s="14">
        <v>1</v>
      </c>
      <c r="Z217" s="14">
        <v>1</v>
      </c>
      <c r="AA217" s="14">
        <v>1</v>
      </c>
      <c r="AB217" s="18">
        <v>1</v>
      </c>
    </row>
    <row r="218" spans="2:28" ht="25.5" x14ac:dyDescent="0.2">
      <c r="B218" s="86"/>
      <c r="C218" s="89"/>
      <c r="D218" s="79"/>
      <c r="E218" s="79"/>
      <c r="F218" s="79"/>
      <c r="G218" s="81"/>
      <c r="H218" s="83"/>
      <c r="I218" s="15"/>
      <c r="J218" s="15"/>
      <c r="K218" s="101"/>
      <c r="L218" s="43">
        <v>336553.1999999999</v>
      </c>
      <c r="M218" s="14" t="s">
        <v>507</v>
      </c>
      <c r="N218" s="19" t="s">
        <v>508</v>
      </c>
      <c r="O218" s="13" t="s">
        <v>509</v>
      </c>
      <c r="P218" s="14">
        <v>12</v>
      </c>
      <c r="Q218" s="14"/>
      <c r="R218" s="14">
        <v>2</v>
      </c>
      <c r="S218" s="14">
        <v>1</v>
      </c>
      <c r="T218" s="14">
        <v>1</v>
      </c>
      <c r="U218" s="14">
        <v>1</v>
      </c>
      <c r="V218" s="14">
        <v>1</v>
      </c>
      <c r="W218" s="14">
        <v>1</v>
      </c>
      <c r="X218" s="14">
        <v>1</v>
      </c>
      <c r="Y218" s="14">
        <v>1</v>
      </c>
      <c r="Z218" s="14">
        <v>1</v>
      </c>
      <c r="AA218" s="14">
        <v>1</v>
      </c>
      <c r="AB218" s="18">
        <v>1</v>
      </c>
    </row>
    <row r="219" spans="2:28" ht="12.75" x14ac:dyDescent="0.2">
      <c r="B219" s="86"/>
      <c r="C219" s="89"/>
      <c r="D219" s="79"/>
      <c r="E219" s="79">
        <v>15</v>
      </c>
      <c r="F219" s="79" t="s">
        <v>795</v>
      </c>
      <c r="G219" s="81" t="s">
        <v>54</v>
      </c>
      <c r="H219" s="83" t="s">
        <v>510</v>
      </c>
      <c r="I219" s="15"/>
      <c r="J219" s="15"/>
      <c r="K219" s="100">
        <f>SUM(L219:L226)</f>
        <v>10709409.65</v>
      </c>
      <c r="L219" s="43">
        <v>799688.82</v>
      </c>
      <c r="M219" s="14" t="s">
        <v>176</v>
      </c>
      <c r="N219" s="19" t="s">
        <v>141</v>
      </c>
      <c r="O219" s="13" t="s">
        <v>480</v>
      </c>
      <c r="P219" s="14">
        <v>25</v>
      </c>
      <c r="Q219" s="14">
        <v>2</v>
      </c>
      <c r="R219" s="14">
        <v>2</v>
      </c>
      <c r="S219" s="14">
        <v>2</v>
      </c>
      <c r="T219" s="14">
        <v>2</v>
      </c>
      <c r="U219" s="14">
        <v>2</v>
      </c>
      <c r="V219" s="14">
        <v>2</v>
      </c>
      <c r="W219" s="14">
        <v>2</v>
      </c>
      <c r="X219" s="14">
        <v>2</v>
      </c>
      <c r="Y219" s="14">
        <v>2</v>
      </c>
      <c r="Z219" s="14">
        <v>2</v>
      </c>
      <c r="AA219" s="14">
        <v>2</v>
      </c>
      <c r="AB219" s="18">
        <v>3</v>
      </c>
    </row>
    <row r="220" spans="2:28" ht="12.75" x14ac:dyDescent="0.2">
      <c r="B220" s="86"/>
      <c r="C220" s="89"/>
      <c r="D220" s="79"/>
      <c r="E220" s="79"/>
      <c r="F220" s="79"/>
      <c r="G220" s="81"/>
      <c r="H220" s="83"/>
      <c r="I220" s="15"/>
      <c r="J220" s="15"/>
      <c r="K220" s="102"/>
      <c r="L220" s="43">
        <v>19147.77</v>
      </c>
      <c r="M220" s="14" t="s">
        <v>177</v>
      </c>
      <c r="N220" s="19" t="s">
        <v>511</v>
      </c>
      <c r="O220" s="13" t="s">
        <v>512</v>
      </c>
      <c r="P220" s="14">
        <v>1</v>
      </c>
      <c r="Q220" s="14"/>
      <c r="R220" s="14"/>
      <c r="S220" s="14">
        <v>1</v>
      </c>
      <c r="T220" s="14"/>
      <c r="U220" s="14"/>
      <c r="V220" s="14"/>
      <c r="W220" s="14"/>
      <c r="X220" s="14"/>
      <c r="Y220" s="14"/>
      <c r="Z220" s="14"/>
      <c r="AA220" s="14"/>
      <c r="AB220" s="18"/>
    </row>
    <row r="221" spans="2:28" ht="25.5" x14ac:dyDescent="0.2">
      <c r="B221" s="86"/>
      <c r="C221" s="89"/>
      <c r="D221" s="79"/>
      <c r="E221" s="79"/>
      <c r="F221" s="79"/>
      <c r="G221" s="81"/>
      <c r="H221" s="83"/>
      <c r="I221" s="15"/>
      <c r="J221" s="15"/>
      <c r="K221" s="102"/>
      <c r="L221" s="43">
        <v>92929.3</v>
      </c>
      <c r="M221" s="14" t="s">
        <v>180</v>
      </c>
      <c r="N221" s="19" t="s">
        <v>513</v>
      </c>
      <c r="O221" s="13" t="s">
        <v>514</v>
      </c>
      <c r="P221" s="14">
        <v>5</v>
      </c>
      <c r="Q221" s="14"/>
      <c r="R221" s="14"/>
      <c r="S221" s="14">
        <v>1</v>
      </c>
      <c r="T221" s="14"/>
      <c r="U221" s="14">
        <v>1</v>
      </c>
      <c r="V221" s="14"/>
      <c r="W221" s="14">
        <v>1</v>
      </c>
      <c r="X221" s="14"/>
      <c r="Y221" s="14">
        <v>1</v>
      </c>
      <c r="Z221" s="14"/>
      <c r="AA221" s="14"/>
      <c r="AB221" s="18">
        <v>1</v>
      </c>
    </row>
    <row r="222" spans="2:28" ht="25.5" x14ac:dyDescent="0.2">
      <c r="B222" s="86"/>
      <c r="C222" s="89"/>
      <c r="D222" s="79"/>
      <c r="E222" s="79"/>
      <c r="F222" s="79"/>
      <c r="G222" s="81"/>
      <c r="H222" s="83"/>
      <c r="I222" s="15"/>
      <c r="J222" s="15"/>
      <c r="K222" s="102"/>
      <c r="L222" s="43">
        <v>19147.75</v>
      </c>
      <c r="M222" s="14" t="s">
        <v>183</v>
      </c>
      <c r="N222" s="19" t="s">
        <v>515</v>
      </c>
      <c r="O222" s="13" t="s">
        <v>516</v>
      </c>
      <c r="P222" s="14">
        <v>5</v>
      </c>
      <c r="Q222" s="14"/>
      <c r="R222" s="14"/>
      <c r="S222" s="14">
        <v>1</v>
      </c>
      <c r="T222" s="14"/>
      <c r="U222" s="14">
        <v>1</v>
      </c>
      <c r="V222" s="14"/>
      <c r="W222" s="14">
        <v>1</v>
      </c>
      <c r="X222" s="14"/>
      <c r="Y222" s="14">
        <v>1</v>
      </c>
      <c r="Z222" s="14"/>
      <c r="AA222" s="14"/>
      <c r="AB222" s="18">
        <v>1</v>
      </c>
    </row>
    <row r="223" spans="2:28" ht="25.5" x14ac:dyDescent="0.2">
      <c r="B223" s="86"/>
      <c r="C223" s="89"/>
      <c r="D223" s="79"/>
      <c r="E223" s="79"/>
      <c r="F223" s="79"/>
      <c r="G223" s="81"/>
      <c r="H223" s="83"/>
      <c r="I223" s="15"/>
      <c r="J223" s="15"/>
      <c r="K223" s="102"/>
      <c r="L223" s="43">
        <v>197188.5</v>
      </c>
      <c r="M223" s="14" t="s">
        <v>186</v>
      </c>
      <c r="N223" s="19" t="s">
        <v>517</v>
      </c>
      <c r="O223" s="13" t="s">
        <v>518</v>
      </c>
      <c r="P223" s="14">
        <v>10</v>
      </c>
      <c r="Q223" s="14"/>
      <c r="R223" s="14"/>
      <c r="S223" s="14">
        <v>1</v>
      </c>
      <c r="T223" s="14">
        <v>1</v>
      </c>
      <c r="U223" s="14">
        <v>1</v>
      </c>
      <c r="V223" s="14">
        <v>1</v>
      </c>
      <c r="W223" s="14">
        <v>1</v>
      </c>
      <c r="X223" s="14">
        <v>1</v>
      </c>
      <c r="Y223" s="14">
        <v>1</v>
      </c>
      <c r="Z223" s="14">
        <v>1</v>
      </c>
      <c r="AA223" s="14">
        <v>1</v>
      </c>
      <c r="AB223" s="18">
        <v>1</v>
      </c>
    </row>
    <row r="224" spans="2:28" ht="25.5" x14ac:dyDescent="0.2">
      <c r="B224" s="86"/>
      <c r="C224" s="89"/>
      <c r="D224" s="79"/>
      <c r="E224" s="79"/>
      <c r="F224" s="79"/>
      <c r="G224" s="81"/>
      <c r="H224" s="83"/>
      <c r="I224" s="15"/>
      <c r="J224" s="15"/>
      <c r="K224" s="102"/>
      <c r="L224" s="43">
        <v>221063.82</v>
      </c>
      <c r="M224" s="14" t="s">
        <v>415</v>
      </c>
      <c r="N224" s="19" t="s">
        <v>519</v>
      </c>
      <c r="O224" s="13" t="s">
        <v>520</v>
      </c>
      <c r="P224" s="14">
        <v>1</v>
      </c>
      <c r="Q224" s="14"/>
      <c r="R224" s="14"/>
      <c r="S224" s="14">
        <v>1</v>
      </c>
      <c r="T224" s="14"/>
      <c r="U224" s="14"/>
      <c r="V224" s="14"/>
      <c r="W224" s="14"/>
      <c r="X224" s="14"/>
      <c r="Y224" s="14"/>
      <c r="Z224" s="14"/>
      <c r="AA224" s="14"/>
      <c r="AB224" s="18"/>
    </row>
    <row r="225" spans="2:28" ht="12.75" x14ac:dyDescent="0.2">
      <c r="B225" s="86"/>
      <c r="C225" s="89"/>
      <c r="D225" s="79"/>
      <c r="E225" s="79"/>
      <c r="F225" s="79"/>
      <c r="G225" s="81"/>
      <c r="H225" s="83"/>
      <c r="I225" s="15"/>
      <c r="J225" s="15"/>
      <c r="K225" s="102"/>
      <c r="L225" s="43">
        <v>9241095.9299999997</v>
      </c>
      <c r="M225" s="14" t="s">
        <v>418</v>
      </c>
      <c r="N225" s="19" t="s">
        <v>818</v>
      </c>
      <c r="O225" s="13" t="s">
        <v>490</v>
      </c>
      <c r="P225" s="14">
        <v>1</v>
      </c>
      <c r="Q225" s="14"/>
      <c r="R225" s="14">
        <v>1</v>
      </c>
      <c r="S225" s="14"/>
      <c r="T225" s="14"/>
      <c r="U225" s="14"/>
      <c r="V225" s="14"/>
      <c r="W225" s="14"/>
      <c r="X225" s="14"/>
      <c r="Y225" s="14"/>
      <c r="Z225" s="14"/>
      <c r="AA225" s="14"/>
      <c r="AB225" s="18"/>
    </row>
    <row r="226" spans="2:28" ht="12.75" x14ac:dyDescent="0.2">
      <c r="B226" s="86"/>
      <c r="C226" s="89"/>
      <c r="D226" s="79"/>
      <c r="E226" s="79"/>
      <c r="F226" s="79"/>
      <c r="G226" s="81"/>
      <c r="H226" s="83"/>
      <c r="I226" s="15"/>
      <c r="J226" s="15"/>
      <c r="K226" s="101"/>
      <c r="L226" s="43">
        <v>119147.76</v>
      </c>
      <c r="M226" s="14" t="s">
        <v>521</v>
      </c>
      <c r="N226" s="19" t="s">
        <v>522</v>
      </c>
      <c r="O226" s="13" t="s">
        <v>523</v>
      </c>
      <c r="P226" s="14">
        <v>2</v>
      </c>
      <c r="Q226" s="14"/>
      <c r="R226" s="14">
        <v>1</v>
      </c>
      <c r="S226" s="14"/>
      <c r="T226" s="14"/>
      <c r="U226" s="14"/>
      <c r="V226" s="14"/>
      <c r="W226" s="14"/>
      <c r="X226" s="14"/>
      <c r="Y226" s="14"/>
      <c r="Z226" s="14"/>
      <c r="AA226" s="14">
        <v>1</v>
      </c>
      <c r="AB226" s="18"/>
    </row>
    <row r="227" spans="2:28" ht="12.75" x14ac:dyDescent="0.2">
      <c r="B227" s="86"/>
      <c r="C227" s="89"/>
      <c r="D227" s="79"/>
      <c r="E227" s="79">
        <v>13</v>
      </c>
      <c r="F227" s="79" t="s">
        <v>796</v>
      </c>
      <c r="G227" s="81" t="s">
        <v>63</v>
      </c>
      <c r="H227" s="83" t="s">
        <v>524</v>
      </c>
      <c r="I227" s="15"/>
      <c r="J227" s="15"/>
      <c r="K227" s="100">
        <f>SUM(L227:L237)</f>
        <v>2428441.1</v>
      </c>
      <c r="L227" s="43">
        <v>1878956.86</v>
      </c>
      <c r="M227" s="14" t="s">
        <v>225</v>
      </c>
      <c r="N227" s="19" t="s">
        <v>141</v>
      </c>
      <c r="O227" s="13" t="s">
        <v>480</v>
      </c>
      <c r="P227" s="14">
        <v>25</v>
      </c>
      <c r="Q227" s="14">
        <v>2</v>
      </c>
      <c r="R227" s="14">
        <v>2</v>
      </c>
      <c r="S227" s="14">
        <v>2</v>
      </c>
      <c r="T227" s="14">
        <v>2</v>
      </c>
      <c r="U227" s="14">
        <v>2</v>
      </c>
      <c r="V227" s="14">
        <v>2</v>
      </c>
      <c r="W227" s="14">
        <v>2</v>
      </c>
      <c r="X227" s="14">
        <v>2</v>
      </c>
      <c r="Y227" s="14">
        <v>2</v>
      </c>
      <c r="Z227" s="14">
        <v>2</v>
      </c>
      <c r="AA227" s="14">
        <v>2</v>
      </c>
      <c r="AB227" s="18">
        <v>3</v>
      </c>
    </row>
    <row r="228" spans="2:28" ht="38.25" x14ac:dyDescent="0.2">
      <c r="B228" s="86"/>
      <c r="C228" s="89"/>
      <c r="D228" s="79"/>
      <c r="E228" s="79"/>
      <c r="F228" s="79"/>
      <c r="G228" s="81"/>
      <c r="H228" s="83"/>
      <c r="I228" s="15"/>
      <c r="J228" s="15"/>
      <c r="K228" s="102"/>
      <c r="L228" s="43">
        <v>54948.479999999996</v>
      </c>
      <c r="M228" s="14" t="s">
        <v>226</v>
      </c>
      <c r="N228" s="19" t="s">
        <v>525</v>
      </c>
      <c r="O228" s="13" t="s">
        <v>526</v>
      </c>
      <c r="P228" s="14">
        <v>24</v>
      </c>
      <c r="Q228" s="14">
        <v>2</v>
      </c>
      <c r="R228" s="14">
        <v>2</v>
      </c>
      <c r="S228" s="14">
        <v>2</v>
      </c>
      <c r="T228" s="14">
        <v>2</v>
      </c>
      <c r="U228" s="14">
        <v>2</v>
      </c>
      <c r="V228" s="14">
        <v>2</v>
      </c>
      <c r="W228" s="14">
        <v>2</v>
      </c>
      <c r="X228" s="14">
        <v>2</v>
      </c>
      <c r="Y228" s="14">
        <v>2</v>
      </c>
      <c r="Z228" s="14">
        <v>2</v>
      </c>
      <c r="AA228" s="14">
        <v>2</v>
      </c>
      <c r="AB228" s="18">
        <v>2</v>
      </c>
    </row>
    <row r="229" spans="2:28" ht="12.75" x14ac:dyDescent="0.2">
      <c r="B229" s="86"/>
      <c r="C229" s="89"/>
      <c r="D229" s="79"/>
      <c r="E229" s="79"/>
      <c r="F229" s="79"/>
      <c r="G229" s="81"/>
      <c r="H229" s="83"/>
      <c r="I229" s="15"/>
      <c r="J229" s="15"/>
      <c r="K229" s="102"/>
      <c r="L229" s="43">
        <v>54948.479999999996</v>
      </c>
      <c r="M229" s="14" t="s">
        <v>229</v>
      </c>
      <c r="N229" s="19" t="s">
        <v>527</v>
      </c>
      <c r="O229" s="13" t="s">
        <v>528</v>
      </c>
      <c r="P229" s="14">
        <v>28</v>
      </c>
      <c r="Q229" s="14"/>
      <c r="R229" s="14">
        <v>4</v>
      </c>
      <c r="S229" s="14">
        <v>2</v>
      </c>
      <c r="T229" s="14">
        <v>2</v>
      </c>
      <c r="U229" s="14">
        <v>4</v>
      </c>
      <c r="V229" s="14">
        <v>4</v>
      </c>
      <c r="W229" s="14"/>
      <c r="X229" s="14"/>
      <c r="Y229" s="14">
        <v>4</v>
      </c>
      <c r="Z229" s="14">
        <v>4</v>
      </c>
      <c r="AA229" s="14">
        <v>4</v>
      </c>
      <c r="AB229" s="18"/>
    </row>
    <row r="230" spans="2:28" ht="25.5" x14ac:dyDescent="0.2">
      <c r="B230" s="86"/>
      <c r="C230" s="89"/>
      <c r="D230" s="79"/>
      <c r="E230" s="79"/>
      <c r="F230" s="79"/>
      <c r="G230" s="81"/>
      <c r="H230" s="83"/>
      <c r="I230" s="15"/>
      <c r="J230" s="15"/>
      <c r="K230" s="102"/>
      <c r="L230" s="43">
        <v>54948.36</v>
      </c>
      <c r="M230" s="14" t="s">
        <v>232</v>
      </c>
      <c r="N230" s="19" t="s">
        <v>529</v>
      </c>
      <c r="O230" s="13" t="s">
        <v>530</v>
      </c>
      <c r="P230" s="14">
        <v>9</v>
      </c>
      <c r="Q230" s="14"/>
      <c r="R230" s="14">
        <v>2</v>
      </c>
      <c r="S230" s="14">
        <v>2</v>
      </c>
      <c r="T230" s="14"/>
      <c r="U230" s="14">
        <v>1</v>
      </c>
      <c r="V230" s="14"/>
      <c r="W230" s="14"/>
      <c r="X230" s="14"/>
      <c r="Y230" s="14">
        <v>1</v>
      </c>
      <c r="Z230" s="14"/>
      <c r="AA230" s="14">
        <v>2</v>
      </c>
      <c r="AB230" s="18">
        <v>1</v>
      </c>
    </row>
    <row r="231" spans="2:28" ht="25.5" x14ac:dyDescent="0.2">
      <c r="B231" s="86"/>
      <c r="C231" s="89"/>
      <c r="D231" s="79"/>
      <c r="E231" s="79"/>
      <c r="F231" s="79"/>
      <c r="G231" s="81"/>
      <c r="H231" s="83"/>
      <c r="I231" s="15"/>
      <c r="J231" s="15"/>
      <c r="K231" s="102"/>
      <c r="L231" s="43">
        <v>54948.399999999994</v>
      </c>
      <c r="M231" s="14" t="s">
        <v>235</v>
      </c>
      <c r="N231" s="19" t="s">
        <v>531</v>
      </c>
      <c r="O231" s="13" t="s">
        <v>532</v>
      </c>
      <c r="P231" s="14">
        <v>8</v>
      </c>
      <c r="Q231" s="14"/>
      <c r="R231" s="14"/>
      <c r="S231" s="14">
        <v>2</v>
      </c>
      <c r="T231" s="14"/>
      <c r="U231" s="14"/>
      <c r="V231" s="14">
        <v>2</v>
      </c>
      <c r="W231" s="14"/>
      <c r="X231" s="14"/>
      <c r="Y231" s="14">
        <v>2</v>
      </c>
      <c r="Z231" s="14"/>
      <c r="AA231" s="14"/>
      <c r="AB231" s="18">
        <v>2</v>
      </c>
    </row>
    <row r="232" spans="2:28" ht="25.5" x14ac:dyDescent="0.2">
      <c r="B232" s="86"/>
      <c r="C232" s="89"/>
      <c r="D232" s="79"/>
      <c r="E232" s="79"/>
      <c r="F232" s="79"/>
      <c r="G232" s="81"/>
      <c r="H232" s="83"/>
      <c r="I232" s="15"/>
      <c r="J232" s="15"/>
      <c r="K232" s="102"/>
      <c r="L232" s="43">
        <v>54948.399999999994</v>
      </c>
      <c r="M232" s="14" t="s">
        <v>238</v>
      </c>
      <c r="N232" s="19" t="s">
        <v>533</v>
      </c>
      <c r="O232" s="13" t="s">
        <v>534</v>
      </c>
      <c r="P232" s="14">
        <v>4</v>
      </c>
      <c r="Q232" s="14"/>
      <c r="R232" s="14"/>
      <c r="S232" s="14">
        <v>1</v>
      </c>
      <c r="T232" s="14"/>
      <c r="U232" s="14"/>
      <c r="V232" s="14">
        <v>1</v>
      </c>
      <c r="W232" s="14"/>
      <c r="X232" s="14"/>
      <c r="Y232" s="14">
        <v>1</v>
      </c>
      <c r="Z232" s="14"/>
      <c r="AA232" s="14"/>
      <c r="AB232" s="18">
        <v>1</v>
      </c>
    </row>
    <row r="233" spans="2:28" ht="25.5" x14ac:dyDescent="0.2">
      <c r="B233" s="86"/>
      <c r="C233" s="89"/>
      <c r="D233" s="79"/>
      <c r="E233" s="79"/>
      <c r="F233" s="79"/>
      <c r="G233" s="81"/>
      <c r="H233" s="83"/>
      <c r="I233" s="15"/>
      <c r="J233" s="15"/>
      <c r="K233" s="102"/>
      <c r="L233" s="43">
        <v>54948.42</v>
      </c>
      <c r="M233" s="14" t="s">
        <v>430</v>
      </c>
      <c r="N233" s="19" t="s">
        <v>535</v>
      </c>
      <c r="O233" s="13" t="s">
        <v>536</v>
      </c>
      <c r="P233" s="14">
        <v>3</v>
      </c>
      <c r="Q233" s="14"/>
      <c r="R233" s="14"/>
      <c r="S233" s="14">
        <v>1</v>
      </c>
      <c r="T233" s="14"/>
      <c r="U233" s="14"/>
      <c r="V233" s="14">
        <v>1</v>
      </c>
      <c r="W233" s="14"/>
      <c r="X233" s="14"/>
      <c r="Y233" s="14">
        <v>1</v>
      </c>
      <c r="Z233" s="14"/>
      <c r="AA233" s="14"/>
      <c r="AB233" s="18"/>
    </row>
    <row r="234" spans="2:28" ht="25.5" x14ac:dyDescent="0.2">
      <c r="B234" s="86"/>
      <c r="C234" s="89"/>
      <c r="D234" s="79"/>
      <c r="E234" s="79"/>
      <c r="F234" s="79"/>
      <c r="G234" s="81"/>
      <c r="H234" s="83"/>
      <c r="I234" s="15"/>
      <c r="J234" s="15"/>
      <c r="K234" s="102"/>
      <c r="L234" s="43">
        <v>54948.479999999996</v>
      </c>
      <c r="M234" s="14" t="s">
        <v>537</v>
      </c>
      <c r="N234" s="19" t="s">
        <v>538</v>
      </c>
      <c r="O234" s="13" t="s">
        <v>539</v>
      </c>
      <c r="P234" s="14">
        <v>46</v>
      </c>
      <c r="Q234" s="14">
        <v>2</v>
      </c>
      <c r="R234" s="14">
        <v>4</v>
      </c>
      <c r="S234" s="14">
        <v>4</v>
      </c>
      <c r="T234" s="14">
        <v>4</v>
      </c>
      <c r="U234" s="14">
        <v>4</v>
      </c>
      <c r="V234" s="14">
        <v>4</v>
      </c>
      <c r="W234" s="14">
        <v>4</v>
      </c>
      <c r="X234" s="14">
        <v>4</v>
      </c>
      <c r="Y234" s="14">
        <v>4</v>
      </c>
      <c r="Z234" s="14">
        <v>4</v>
      </c>
      <c r="AA234" s="14">
        <v>4</v>
      </c>
      <c r="AB234" s="18">
        <v>4</v>
      </c>
    </row>
    <row r="235" spans="2:28" ht="25.5" x14ac:dyDescent="0.2">
      <c r="B235" s="86"/>
      <c r="C235" s="89"/>
      <c r="D235" s="79"/>
      <c r="E235" s="79"/>
      <c r="F235" s="79"/>
      <c r="G235" s="81"/>
      <c r="H235" s="83"/>
      <c r="I235" s="15"/>
      <c r="J235" s="15"/>
      <c r="K235" s="102"/>
      <c r="L235" s="43">
        <v>54948.44</v>
      </c>
      <c r="M235" s="14" t="s">
        <v>540</v>
      </c>
      <c r="N235" s="19" t="s">
        <v>541</v>
      </c>
      <c r="O235" s="13" t="s">
        <v>530</v>
      </c>
      <c r="P235" s="14">
        <v>8</v>
      </c>
      <c r="Q235" s="14"/>
      <c r="R235" s="14">
        <v>2</v>
      </c>
      <c r="S235" s="14">
        <v>2</v>
      </c>
      <c r="T235" s="14"/>
      <c r="U235" s="14">
        <v>1</v>
      </c>
      <c r="V235" s="14"/>
      <c r="W235" s="14"/>
      <c r="X235" s="14"/>
      <c r="Y235" s="14">
        <v>2</v>
      </c>
      <c r="Z235" s="14"/>
      <c r="AA235" s="14">
        <v>1</v>
      </c>
      <c r="AB235" s="18"/>
    </row>
    <row r="236" spans="2:28" ht="12.75" x14ac:dyDescent="0.2">
      <c r="B236" s="86"/>
      <c r="C236" s="89"/>
      <c r="D236" s="79"/>
      <c r="E236" s="79"/>
      <c r="F236" s="79"/>
      <c r="G236" s="81"/>
      <c r="H236" s="83"/>
      <c r="I236" s="15"/>
      <c r="J236" s="15"/>
      <c r="K236" s="102"/>
      <c r="L236" s="43">
        <v>54948.39</v>
      </c>
      <c r="M236" s="14" t="s">
        <v>542</v>
      </c>
      <c r="N236" s="19" t="s">
        <v>543</v>
      </c>
      <c r="O236" s="13" t="s">
        <v>528</v>
      </c>
      <c r="P236" s="14">
        <v>1</v>
      </c>
      <c r="Q236" s="14"/>
      <c r="R236" s="14">
        <v>1</v>
      </c>
      <c r="S236" s="14"/>
      <c r="T236" s="14"/>
      <c r="U236" s="14"/>
      <c r="V236" s="14"/>
      <c r="W236" s="14"/>
      <c r="X236" s="14"/>
      <c r="Y236" s="14"/>
      <c r="Z236" s="14"/>
      <c r="AA236" s="14"/>
      <c r="AB236" s="18"/>
    </row>
    <row r="237" spans="2:28" ht="12.75" x14ac:dyDescent="0.2">
      <c r="B237" s="86"/>
      <c r="C237" s="89"/>
      <c r="D237" s="79"/>
      <c r="E237" s="79"/>
      <c r="F237" s="79"/>
      <c r="G237" s="81"/>
      <c r="H237" s="83"/>
      <c r="I237" s="15"/>
      <c r="J237" s="15"/>
      <c r="K237" s="101"/>
      <c r="L237" s="43">
        <v>54948.39</v>
      </c>
      <c r="M237" s="14" t="s">
        <v>544</v>
      </c>
      <c r="N237" s="19" t="s">
        <v>545</v>
      </c>
      <c r="O237" s="13" t="s">
        <v>530</v>
      </c>
      <c r="P237" s="14">
        <v>1</v>
      </c>
      <c r="Q237" s="14"/>
      <c r="R237" s="14"/>
      <c r="S237" s="14"/>
      <c r="T237" s="14"/>
      <c r="U237" s="14">
        <v>1</v>
      </c>
      <c r="V237" s="14"/>
      <c r="W237" s="14"/>
      <c r="X237" s="14"/>
      <c r="Y237" s="14"/>
      <c r="Z237" s="14"/>
      <c r="AA237" s="14"/>
      <c r="AB237" s="18"/>
    </row>
    <row r="238" spans="2:28" ht="12.75" x14ac:dyDescent="0.2">
      <c r="B238" s="86"/>
      <c r="C238" s="89"/>
      <c r="D238" s="79"/>
      <c r="E238" s="79">
        <v>16</v>
      </c>
      <c r="F238" s="79" t="s">
        <v>797</v>
      </c>
      <c r="G238" s="81" t="s">
        <v>241</v>
      </c>
      <c r="H238" s="83" t="s">
        <v>546</v>
      </c>
      <c r="I238" s="15"/>
      <c r="J238" s="15"/>
      <c r="K238" s="100">
        <f>SUM(L238:L245)</f>
        <v>2139668.7999999998</v>
      </c>
      <c r="L238" s="43">
        <v>1574820.67</v>
      </c>
      <c r="M238" s="14" t="s">
        <v>243</v>
      </c>
      <c r="N238" s="19" t="s">
        <v>141</v>
      </c>
      <c r="O238" s="13" t="s">
        <v>480</v>
      </c>
      <c r="P238" s="14">
        <v>25</v>
      </c>
      <c r="Q238" s="14">
        <v>2</v>
      </c>
      <c r="R238" s="14">
        <v>2</v>
      </c>
      <c r="S238" s="14">
        <v>2</v>
      </c>
      <c r="T238" s="14">
        <v>2</v>
      </c>
      <c r="U238" s="14">
        <v>2</v>
      </c>
      <c r="V238" s="14">
        <v>2</v>
      </c>
      <c r="W238" s="14">
        <v>2</v>
      </c>
      <c r="X238" s="14">
        <v>2</v>
      </c>
      <c r="Y238" s="14">
        <v>2</v>
      </c>
      <c r="Z238" s="14">
        <v>2</v>
      </c>
      <c r="AA238" s="14">
        <v>2</v>
      </c>
      <c r="AB238" s="18">
        <v>3</v>
      </c>
    </row>
    <row r="239" spans="2:28" ht="25.5" x14ac:dyDescent="0.2">
      <c r="B239" s="86"/>
      <c r="C239" s="89"/>
      <c r="D239" s="79"/>
      <c r="E239" s="79"/>
      <c r="F239" s="79"/>
      <c r="G239" s="81"/>
      <c r="H239" s="83"/>
      <c r="I239" s="15"/>
      <c r="J239" s="15"/>
      <c r="K239" s="102"/>
      <c r="L239" s="43">
        <v>96521.16</v>
      </c>
      <c r="M239" s="14" t="s">
        <v>244</v>
      </c>
      <c r="N239" s="19" t="s">
        <v>547</v>
      </c>
      <c r="O239" s="13" t="s">
        <v>548</v>
      </c>
      <c r="P239" s="14">
        <v>2020</v>
      </c>
      <c r="Q239" s="14">
        <v>150</v>
      </c>
      <c r="R239" s="14">
        <v>175</v>
      </c>
      <c r="S239" s="14">
        <v>180</v>
      </c>
      <c r="T239" s="14">
        <v>150</v>
      </c>
      <c r="U239" s="14">
        <v>175</v>
      </c>
      <c r="V239" s="14">
        <v>180</v>
      </c>
      <c r="W239" s="14">
        <v>150</v>
      </c>
      <c r="X239" s="14">
        <v>175</v>
      </c>
      <c r="Y239" s="14">
        <v>180</v>
      </c>
      <c r="Z239" s="14">
        <v>150</v>
      </c>
      <c r="AA239" s="14">
        <v>175</v>
      </c>
      <c r="AB239" s="18">
        <v>180</v>
      </c>
    </row>
    <row r="240" spans="2:28" ht="25.5" x14ac:dyDescent="0.2">
      <c r="B240" s="86"/>
      <c r="C240" s="89"/>
      <c r="D240" s="79"/>
      <c r="E240" s="79"/>
      <c r="F240" s="79"/>
      <c r="G240" s="81"/>
      <c r="H240" s="83"/>
      <c r="I240" s="15"/>
      <c r="J240" s="15"/>
      <c r="K240" s="102"/>
      <c r="L240" s="43">
        <v>78521.209999999992</v>
      </c>
      <c r="M240" s="14" t="s">
        <v>247</v>
      </c>
      <c r="N240" s="19" t="s">
        <v>549</v>
      </c>
      <c r="O240" s="13" t="s">
        <v>550</v>
      </c>
      <c r="P240" s="14">
        <v>1</v>
      </c>
      <c r="Q240" s="14"/>
      <c r="R240" s="14"/>
      <c r="S240" s="14">
        <v>1</v>
      </c>
      <c r="T240" s="14"/>
      <c r="U240" s="14"/>
      <c r="V240" s="14"/>
      <c r="W240" s="14"/>
      <c r="X240" s="14"/>
      <c r="Y240" s="14"/>
      <c r="Z240" s="14"/>
      <c r="AA240" s="14"/>
      <c r="AB240" s="18"/>
    </row>
    <row r="241" spans="2:28" ht="38.25" x14ac:dyDescent="0.2">
      <c r="B241" s="86"/>
      <c r="C241" s="89"/>
      <c r="D241" s="79"/>
      <c r="E241" s="79"/>
      <c r="F241" s="79"/>
      <c r="G241" s="81"/>
      <c r="H241" s="83"/>
      <c r="I241" s="15"/>
      <c r="J241" s="15"/>
      <c r="K241" s="102"/>
      <c r="L241" s="43">
        <v>78521.16</v>
      </c>
      <c r="M241" s="14" t="s">
        <v>249</v>
      </c>
      <c r="N241" s="19" t="s">
        <v>551</v>
      </c>
      <c r="O241" s="13" t="s">
        <v>552</v>
      </c>
      <c r="P241" s="14">
        <v>47</v>
      </c>
      <c r="Q241" s="14">
        <v>4</v>
      </c>
      <c r="R241" s="14">
        <v>3</v>
      </c>
      <c r="S241" s="14">
        <v>4</v>
      </c>
      <c r="T241" s="14">
        <v>4</v>
      </c>
      <c r="U241" s="14">
        <v>4</v>
      </c>
      <c r="V241" s="14">
        <v>4</v>
      </c>
      <c r="W241" s="14">
        <v>4</v>
      </c>
      <c r="X241" s="14">
        <v>4</v>
      </c>
      <c r="Y241" s="14">
        <v>4</v>
      </c>
      <c r="Z241" s="14">
        <v>4</v>
      </c>
      <c r="AA241" s="14">
        <v>4</v>
      </c>
      <c r="AB241" s="18">
        <v>4</v>
      </c>
    </row>
    <row r="242" spans="2:28" ht="12.75" x14ac:dyDescent="0.2">
      <c r="B242" s="86"/>
      <c r="C242" s="89"/>
      <c r="D242" s="79"/>
      <c r="E242" s="79"/>
      <c r="F242" s="79"/>
      <c r="G242" s="81"/>
      <c r="H242" s="83"/>
      <c r="I242" s="15"/>
      <c r="J242" s="15"/>
      <c r="K242" s="102"/>
      <c r="L242" s="43">
        <v>78521.16</v>
      </c>
      <c r="M242" s="14" t="s">
        <v>553</v>
      </c>
      <c r="N242" s="19" t="s">
        <v>819</v>
      </c>
      <c r="O242" s="13" t="s">
        <v>554</v>
      </c>
      <c r="P242" s="14">
        <v>47</v>
      </c>
      <c r="Q242" s="14">
        <v>4</v>
      </c>
      <c r="R242" s="14">
        <v>3</v>
      </c>
      <c r="S242" s="14">
        <v>4</v>
      </c>
      <c r="T242" s="14">
        <v>4</v>
      </c>
      <c r="U242" s="14">
        <v>4</v>
      </c>
      <c r="V242" s="14">
        <v>4</v>
      </c>
      <c r="W242" s="14">
        <v>4</v>
      </c>
      <c r="X242" s="14">
        <v>4</v>
      </c>
      <c r="Y242" s="14">
        <v>4</v>
      </c>
      <c r="Z242" s="14">
        <v>4</v>
      </c>
      <c r="AA242" s="14">
        <v>4</v>
      </c>
      <c r="AB242" s="18">
        <v>4</v>
      </c>
    </row>
    <row r="243" spans="2:28" ht="25.5" x14ac:dyDescent="0.2">
      <c r="B243" s="86"/>
      <c r="C243" s="89"/>
      <c r="D243" s="79"/>
      <c r="E243" s="79"/>
      <c r="F243" s="79"/>
      <c r="G243" s="81"/>
      <c r="H243" s="83"/>
      <c r="I243" s="15"/>
      <c r="J243" s="15"/>
      <c r="K243" s="102"/>
      <c r="L243" s="43">
        <v>75721.2</v>
      </c>
      <c r="M243" s="14" t="s">
        <v>555</v>
      </c>
      <c r="N243" s="19" t="s">
        <v>556</v>
      </c>
      <c r="O243" s="13" t="s">
        <v>557</v>
      </c>
      <c r="P243" s="14">
        <v>4</v>
      </c>
      <c r="Q243" s="14"/>
      <c r="R243" s="14">
        <v>1</v>
      </c>
      <c r="S243" s="14"/>
      <c r="T243" s="14"/>
      <c r="U243" s="14">
        <v>1</v>
      </c>
      <c r="V243" s="14"/>
      <c r="W243" s="14"/>
      <c r="X243" s="14">
        <v>1</v>
      </c>
      <c r="Y243" s="14"/>
      <c r="Z243" s="14"/>
      <c r="AA243" s="14">
        <v>1</v>
      </c>
      <c r="AB243" s="18"/>
    </row>
    <row r="244" spans="2:28" ht="38.25" x14ac:dyDescent="0.2">
      <c r="B244" s="86"/>
      <c r="C244" s="89"/>
      <c r="D244" s="79"/>
      <c r="E244" s="79"/>
      <c r="F244" s="79"/>
      <c r="G244" s="81"/>
      <c r="H244" s="83"/>
      <c r="I244" s="15"/>
      <c r="J244" s="15"/>
      <c r="K244" s="102"/>
      <c r="L244" s="43">
        <v>78521.08</v>
      </c>
      <c r="M244" s="14" t="s">
        <v>558</v>
      </c>
      <c r="N244" s="19" t="s">
        <v>559</v>
      </c>
      <c r="O244" s="13" t="s">
        <v>560</v>
      </c>
      <c r="P244" s="14">
        <v>11</v>
      </c>
      <c r="Q244" s="14">
        <v>1</v>
      </c>
      <c r="R244" s="14">
        <v>1</v>
      </c>
      <c r="S244" s="14">
        <v>1</v>
      </c>
      <c r="T244" s="14">
        <v>1</v>
      </c>
      <c r="U244" s="14">
        <v>1</v>
      </c>
      <c r="V244" s="14">
        <v>1</v>
      </c>
      <c r="W244" s="14">
        <v>1</v>
      </c>
      <c r="X244" s="14"/>
      <c r="Y244" s="14">
        <v>1</v>
      </c>
      <c r="Z244" s="14">
        <v>1</v>
      </c>
      <c r="AA244" s="14">
        <v>1</v>
      </c>
      <c r="AB244" s="18">
        <v>1</v>
      </c>
    </row>
    <row r="245" spans="2:28" ht="25.5" x14ac:dyDescent="0.2">
      <c r="B245" s="86"/>
      <c r="C245" s="89"/>
      <c r="D245" s="79"/>
      <c r="E245" s="79"/>
      <c r="F245" s="79"/>
      <c r="G245" s="81"/>
      <c r="H245" s="83"/>
      <c r="I245" s="15"/>
      <c r="J245" s="15"/>
      <c r="K245" s="101"/>
      <c r="L245" s="43">
        <v>78521.16</v>
      </c>
      <c r="M245" s="14" t="s">
        <v>561</v>
      </c>
      <c r="N245" s="19" t="s">
        <v>562</v>
      </c>
      <c r="O245" s="13" t="s">
        <v>563</v>
      </c>
      <c r="P245" s="14">
        <v>108</v>
      </c>
      <c r="Q245" s="14">
        <v>9</v>
      </c>
      <c r="R245" s="14">
        <v>9</v>
      </c>
      <c r="S245" s="14">
        <v>9</v>
      </c>
      <c r="T245" s="14">
        <v>9</v>
      </c>
      <c r="U245" s="14">
        <v>9</v>
      </c>
      <c r="V245" s="14">
        <v>9</v>
      </c>
      <c r="W245" s="14">
        <v>9</v>
      </c>
      <c r="X245" s="14">
        <v>9</v>
      </c>
      <c r="Y245" s="14">
        <v>9</v>
      </c>
      <c r="Z245" s="14">
        <v>9</v>
      </c>
      <c r="AA245" s="14">
        <v>9</v>
      </c>
      <c r="AB245" s="18">
        <v>9</v>
      </c>
    </row>
    <row r="246" spans="2:28" ht="12.75" x14ac:dyDescent="0.2">
      <c r="B246" s="86"/>
      <c r="C246" s="89"/>
      <c r="D246" s="79"/>
      <c r="E246" s="79">
        <v>57</v>
      </c>
      <c r="F246" s="79" t="s">
        <v>798</v>
      </c>
      <c r="G246" s="81" t="s">
        <v>302</v>
      </c>
      <c r="H246" s="83" t="s">
        <v>564</v>
      </c>
      <c r="I246" s="15"/>
      <c r="J246" s="15"/>
      <c r="K246" s="100">
        <f>SUM(L246:L248)</f>
        <v>1652850.4700000002</v>
      </c>
      <c r="L246" s="43">
        <v>1638210.33</v>
      </c>
      <c r="M246" s="14" t="s">
        <v>304</v>
      </c>
      <c r="N246" s="19" t="s">
        <v>141</v>
      </c>
      <c r="O246" s="13" t="s">
        <v>480</v>
      </c>
      <c r="P246" s="14">
        <v>25</v>
      </c>
      <c r="Q246" s="14">
        <v>2</v>
      </c>
      <c r="R246" s="14">
        <v>2</v>
      </c>
      <c r="S246" s="14">
        <v>2</v>
      </c>
      <c r="T246" s="14">
        <v>2</v>
      </c>
      <c r="U246" s="14">
        <v>2</v>
      </c>
      <c r="V246" s="14">
        <v>2</v>
      </c>
      <c r="W246" s="14">
        <v>2</v>
      </c>
      <c r="X246" s="14">
        <v>2</v>
      </c>
      <c r="Y246" s="14">
        <v>2</v>
      </c>
      <c r="Z246" s="14">
        <v>2</v>
      </c>
      <c r="AA246" s="14">
        <v>2</v>
      </c>
      <c r="AB246" s="18">
        <v>3</v>
      </c>
    </row>
    <row r="247" spans="2:28" ht="25.5" x14ac:dyDescent="0.2">
      <c r="B247" s="86"/>
      <c r="C247" s="89"/>
      <c r="D247" s="79"/>
      <c r="E247" s="79"/>
      <c r="F247" s="79"/>
      <c r="G247" s="81"/>
      <c r="H247" s="83"/>
      <c r="I247" s="15"/>
      <c r="J247" s="15"/>
      <c r="K247" s="102"/>
      <c r="L247" s="43">
        <v>10695.84</v>
      </c>
      <c r="M247" s="14" t="s">
        <v>305</v>
      </c>
      <c r="N247" s="19" t="s">
        <v>565</v>
      </c>
      <c r="O247" s="13" t="s">
        <v>566</v>
      </c>
      <c r="P247" s="14">
        <v>42</v>
      </c>
      <c r="Q247" s="14"/>
      <c r="R247" s="14"/>
      <c r="S247" s="14"/>
      <c r="T247" s="14">
        <v>6</v>
      </c>
      <c r="U247" s="14">
        <v>6</v>
      </c>
      <c r="V247" s="14">
        <v>5</v>
      </c>
      <c r="W247" s="14">
        <v>5</v>
      </c>
      <c r="X247" s="14">
        <v>5</v>
      </c>
      <c r="Y247" s="14">
        <v>5</v>
      </c>
      <c r="Z247" s="14">
        <v>5</v>
      </c>
      <c r="AA247" s="14">
        <v>5</v>
      </c>
      <c r="AB247" s="18"/>
    </row>
    <row r="248" spans="2:28" ht="12.75" x14ac:dyDescent="0.2">
      <c r="B248" s="86"/>
      <c r="C248" s="89"/>
      <c r="D248" s="79"/>
      <c r="E248" s="79"/>
      <c r="F248" s="79"/>
      <c r="G248" s="81"/>
      <c r="H248" s="83"/>
      <c r="I248" s="15"/>
      <c r="J248" s="15"/>
      <c r="K248" s="101"/>
      <c r="L248" s="43">
        <v>3944.3</v>
      </c>
      <c r="M248" s="14" t="s">
        <v>308</v>
      </c>
      <c r="N248" s="19" t="s">
        <v>567</v>
      </c>
      <c r="O248" s="13" t="s">
        <v>484</v>
      </c>
      <c r="P248" s="14">
        <v>1</v>
      </c>
      <c r="Q248" s="14"/>
      <c r="R248" s="14"/>
      <c r="S248" s="14"/>
      <c r="T248" s="14"/>
      <c r="U248" s="14"/>
      <c r="V248" s="14">
        <v>1</v>
      </c>
      <c r="W248" s="14"/>
      <c r="X248" s="14"/>
      <c r="Y248" s="14"/>
      <c r="Z248" s="14"/>
      <c r="AA248" s="14"/>
      <c r="AB248" s="18"/>
    </row>
    <row r="249" spans="2:28" ht="12.75" x14ac:dyDescent="0.2">
      <c r="B249" s="86"/>
      <c r="C249" s="89"/>
      <c r="D249" s="79"/>
      <c r="E249" s="79">
        <v>58</v>
      </c>
      <c r="F249" s="79" t="s">
        <v>799</v>
      </c>
      <c r="G249" s="81" t="s">
        <v>325</v>
      </c>
      <c r="H249" s="83" t="s">
        <v>568</v>
      </c>
      <c r="I249" s="15"/>
      <c r="J249" s="15"/>
      <c r="K249" s="100">
        <f>SUM(L249:L254)</f>
        <v>854132.23</v>
      </c>
      <c r="L249" s="43">
        <v>767587.58</v>
      </c>
      <c r="M249" s="14" t="s">
        <v>327</v>
      </c>
      <c r="N249" s="19" t="s">
        <v>141</v>
      </c>
      <c r="O249" s="13" t="s">
        <v>480</v>
      </c>
      <c r="P249" s="14">
        <v>25</v>
      </c>
      <c r="Q249" s="14">
        <v>2</v>
      </c>
      <c r="R249" s="14">
        <v>2</v>
      </c>
      <c r="S249" s="14">
        <v>2</v>
      </c>
      <c r="T249" s="14">
        <v>2</v>
      </c>
      <c r="U249" s="14">
        <v>2</v>
      </c>
      <c r="V249" s="14">
        <v>2</v>
      </c>
      <c r="W249" s="14">
        <v>2</v>
      </c>
      <c r="X249" s="14">
        <v>2</v>
      </c>
      <c r="Y249" s="14">
        <v>2</v>
      </c>
      <c r="Z249" s="14">
        <v>2</v>
      </c>
      <c r="AA249" s="14">
        <v>2</v>
      </c>
      <c r="AB249" s="18">
        <v>3</v>
      </c>
    </row>
    <row r="250" spans="2:28" ht="25.5" x14ac:dyDescent="0.2">
      <c r="B250" s="86"/>
      <c r="C250" s="89"/>
      <c r="D250" s="79"/>
      <c r="E250" s="79"/>
      <c r="F250" s="79"/>
      <c r="G250" s="81"/>
      <c r="H250" s="83"/>
      <c r="I250" s="15"/>
      <c r="J250" s="15"/>
      <c r="K250" s="102"/>
      <c r="L250" s="43">
        <v>17308.919999999998</v>
      </c>
      <c r="M250" s="14" t="s">
        <v>328</v>
      </c>
      <c r="N250" s="19" t="s">
        <v>569</v>
      </c>
      <c r="O250" s="13" t="s">
        <v>570</v>
      </c>
      <c r="P250" s="14">
        <v>50</v>
      </c>
      <c r="Q250" s="14"/>
      <c r="R250" s="14"/>
      <c r="S250" s="14">
        <v>5</v>
      </c>
      <c r="T250" s="14">
        <v>5</v>
      </c>
      <c r="U250" s="14">
        <v>5</v>
      </c>
      <c r="V250" s="14">
        <v>5</v>
      </c>
      <c r="W250" s="14">
        <v>5</v>
      </c>
      <c r="X250" s="14">
        <v>5</v>
      </c>
      <c r="Y250" s="14">
        <v>5</v>
      </c>
      <c r="Z250" s="14">
        <v>5</v>
      </c>
      <c r="AA250" s="14">
        <v>5</v>
      </c>
      <c r="AB250" s="18">
        <v>5</v>
      </c>
    </row>
    <row r="251" spans="2:28" ht="12.75" x14ac:dyDescent="0.2">
      <c r="B251" s="86"/>
      <c r="C251" s="89"/>
      <c r="D251" s="79"/>
      <c r="E251" s="79"/>
      <c r="F251" s="79"/>
      <c r="G251" s="81"/>
      <c r="H251" s="83"/>
      <c r="I251" s="15"/>
      <c r="J251" s="15"/>
      <c r="K251" s="102"/>
      <c r="L251" s="43">
        <v>17308.949999999997</v>
      </c>
      <c r="M251" s="14" t="s">
        <v>331</v>
      </c>
      <c r="N251" s="19" t="s">
        <v>571</v>
      </c>
      <c r="O251" s="13" t="s">
        <v>572</v>
      </c>
      <c r="P251" s="14">
        <v>10</v>
      </c>
      <c r="Q251" s="14"/>
      <c r="R251" s="14"/>
      <c r="S251" s="14">
        <v>2</v>
      </c>
      <c r="T251" s="14"/>
      <c r="U251" s="14">
        <v>2</v>
      </c>
      <c r="V251" s="14">
        <v>2</v>
      </c>
      <c r="W251" s="14"/>
      <c r="X251" s="14"/>
      <c r="Y251" s="14"/>
      <c r="Z251" s="14">
        <v>2</v>
      </c>
      <c r="AA251" s="14">
        <v>2</v>
      </c>
      <c r="AB251" s="18"/>
    </row>
    <row r="252" spans="2:28" ht="25.5" x14ac:dyDescent="0.2">
      <c r="B252" s="86"/>
      <c r="C252" s="89"/>
      <c r="D252" s="79"/>
      <c r="E252" s="79"/>
      <c r="F252" s="79"/>
      <c r="G252" s="81"/>
      <c r="H252" s="83"/>
      <c r="I252" s="15"/>
      <c r="J252" s="15"/>
      <c r="K252" s="102"/>
      <c r="L252" s="43">
        <v>17308.939999999999</v>
      </c>
      <c r="M252" s="14" t="s">
        <v>334</v>
      </c>
      <c r="N252" s="19" t="s">
        <v>573</v>
      </c>
      <c r="O252" s="13" t="s">
        <v>574</v>
      </c>
      <c r="P252" s="14">
        <v>2</v>
      </c>
      <c r="Q252" s="14"/>
      <c r="R252" s="14"/>
      <c r="S252" s="14"/>
      <c r="T252" s="14">
        <v>1</v>
      </c>
      <c r="U252" s="14"/>
      <c r="V252" s="14">
        <v>1</v>
      </c>
      <c r="W252" s="14"/>
      <c r="X252" s="14"/>
      <c r="Y252" s="14"/>
      <c r="Z252" s="14"/>
      <c r="AA252" s="14"/>
      <c r="AB252" s="18"/>
    </row>
    <row r="253" spans="2:28" ht="12.75" x14ac:dyDescent="0.2">
      <c r="B253" s="86"/>
      <c r="C253" s="89"/>
      <c r="D253" s="79"/>
      <c r="E253" s="79"/>
      <c r="F253" s="79"/>
      <c r="G253" s="81"/>
      <c r="H253" s="83"/>
      <c r="I253" s="15"/>
      <c r="J253" s="15"/>
      <c r="K253" s="102"/>
      <c r="L253" s="43">
        <v>17308.919999999998</v>
      </c>
      <c r="M253" s="14" t="s">
        <v>337</v>
      </c>
      <c r="N253" s="19" t="s">
        <v>575</v>
      </c>
      <c r="O253" s="13" t="s">
        <v>576</v>
      </c>
      <c r="P253" s="14">
        <v>12</v>
      </c>
      <c r="Q253" s="14"/>
      <c r="R253" s="14">
        <v>2</v>
      </c>
      <c r="S253" s="14">
        <v>2</v>
      </c>
      <c r="T253" s="14">
        <v>1</v>
      </c>
      <c r="U253" s="14">
        <v>1</v>
      </c>
      <c r="V253" s="14">
        <v>1</v>
      </c>
      <c r="W253" s="14">
        <v>1</v>
      </c>
      <c r="X253" s="14">
        <v>1</v>
      </c>
      <c r="Y253" s="14">
        <v>1</v>
      </c>
      <c r="Z253" s="14">
        <v>1</v>
      </c>
      <c r="AA253" s="14">
        <v>1</v>
      </c>
      <c r="AB253" s="18"/>
    </row>
    <row r="254" spans="2:28" ht="25.5" x14ac:dyDescent="0.2">
      <c r="B254" s="86"/>
      <c r="C254" s="89"/>
      <c r="D254" s="79"/>
      <c r="E254" s="79"/>
      <c r="F254" s="79"/>
      <c r="G254" s="81"/>
      <c r="H254" s="83"/>
      <c r="I254" s="15"/>
      <c r="J254" s="15"/>
      <c r="K254" s="101"/>
      <c r="L254" s="43">
        <v>17308.919999999998</v>
      </c>
      <c r="M254" s="14" t="s">
        <v>577</v>
      </c>
      <c r="N254" s="19" t="s">
        <v>578</v>
      </c>
      <c r="O254" s="13" t="s">
        <v>574</v>
      </c>
      <c r="P254" s="14">
        <v>500</v>
      </c>
      <c r="Q254" s="14"/>
      <c r="R254" s="14"/>
      <c r="S254" s="14"/>
      <c r="T254" s="14">
        <v>250</v>
      </c>
      <c r="U254" s="14"/>
      <c r="V254" s="14">
        <v>100</v>
      </c>
      <c r="W254" s="14"/>
      <c r="X254" s="14"/>
      <c r="Y254" s="14">
        <v>150</v>
      </c>
      <c r="Z254" s="14"/>
      <c r="AA254" s="14"/>
      <c r="AB254" s="18"/>
    </row>
    <row r="255" spans="2:28" ht="12.75" x14ac:dyDescent="0.2">
      <c r="B255" s="86"/>
      <c r="C255" s="89"/>
      <c r="D255" s="79"/>
      <c r="E255" s="79">
        <v>25</v>
      </c>
      <c r="F255" s="79" t="s">
        <v>800</v>
      </c>
      <c r="G255" s="81" t="s">
        <v>340</v>
      </c>
      <c r="H255" s="83" t="s">
        <v>579</v>
      </c>
      <c r="I255" s="15"/>
      <c r="J255" s="15"/>
      <c r="K255" s="100">
        <f>SUM(L255:L262)</f>
        <v>1005810.4499999998</v>
      </c>
      <c r="L255" s="43">
        <v>908461.10999999987</v>
      </c>
      <c r="M255" s="14" t="s">
        <v>342</v>
      </c>
      <c r="N255" s="19" t="s">
        <v>141</v>
      </c>
      <c r="O255" s="13" t="s">
        <v>480</v>
      </c>
      <c r="P255" s="14">
        <v>25</v>
      </c>
      <c r="Q255" s="14">
        <v>2</v>
      </c>
      <c r="R255" s="14">
        <v>2</v>
      </c>
      <c r="S255" s="14">
        <v>2</v>
      </c>
      <c r="T255" s="14">
        <v>2</v>
      </c>
      <c r="U255" s="14">
        <v>2</v>
      </c>
      <c r="V255" s="14">
        <v>2</v>
      </c>
      <c r="W255" s="14">
        <v>2</v>
      </c>
      <c r="X255" s="14">
        <v>2</v>
      </c>
      <c r="Y255" s="14">
        <v>2</v>
      </c>
      <c r="Z255" s="14">
        <v>2</v>
      </c>
      <c r="AA255" s="14">
        <v>2</v>
      </c>
      <c r="AB255" s="18">
        <v>3</v>
      </c>
    </row>
    <row r="256" spans="2:28" ht="38.25" x14ac:dyDescent="0.2">
      <c r="B256" s="86"/>
      <c r="C256" s="89"/>
      <c r="D256" s="79"/>
      <c r="E256" s="79"/>
      <c r="F256" s="79"/>
      <c r="G256" s="81"/>
      <c r="H256" s="83"/>
      <c r="I256" s="15"/>
      <c r="J256" s="15"/>
      <c r="K256" s="102"/>
      <c r="L256" s="43">
        <v>13907.079999999998</v>
      </c>
      <c r="M256" s="14" t="s">
        <v>343</v>
      </c>
      <c r="N256" s="19" t="s">
        <v>580</v>
      </c>
      <c r="O256" s="13" t="s">
        <v>581</v>
      </c>
      <c r="P256" s="14">
        <v>4</v>
      </c>
      <c r="Q256" s="14">
        <v>1</v>
      </c>
      <c r="R256" s="14"/>
      <c r="S256" s="14"/>
      <c r="T256" s="14"/>
      <c r="U256" s="14">
        <v>1</v>
      </c>
      <c r="V256" s="14">
        <v>1</v>
      </c>
      <c r="W256" s="14"/>
      <c r="X256" s="14"/>
      <c r="Y256" s="14"/>
      <c r="Z256" s="14">
        <v>1</v>
      </c>
      <c r="AA256" s="14"/>
      <c r="AB256" s="18"/>
    </row>
    <row r="257" spans="2:28" ht="38.25" x14ac:dyDescent="0.2">
      <c r="B257" s="86"/>
      <c r="C257" s="89"/>
      <c r="D257" s="79"/>
      <c r="E257" s="79"/>
      <c r="F257" s="79"/>
      <c r="G257" s="81"/>
      <c r="H257" s="83"/>
      <c r="I257" s="15"/>
      <c r="J257" s="15"/>
      <c r="K257" s="102"/>
      <c r="L257" s="43">
        <v>13906.99</v>
      </c>
      <c r="M257" s="14" t="s">
        <v>346</v>
      </c>
      <c r="N257" s="19" t="s">
        <v>582</v>
      </c>
      <c r="O257" s="13" t="s">
        <v>583</v>
      </c>
      <c r="P257" s="14">
        <v>19</v>
      </c>
      <c r="Q257" s="14">
        <v>2</v>
      </c>
      <c r="R257" s="14">
        <v>1</v>
      </c>
      <c r="S257" s="14">
        <v>1</v>
      </c>
      <c r="T257" s="14">
        <v>1</v>
      </c>
      <c r="U257" s="14">
        <v>2</v>
      </c>
      <c r="V257" s="14">
        <v>3</v>
      </c>
      <c r="W257" s="14"/>
      <c r="X257" s="14"/>
      <c r="Y257" s="14">
        <v>2</v>
      </c>
      <c r="Z257" s="14">
        <v>2</v>
      </c>
      <c r="AA257" s="14">
        <v>3</v>
      </c>
      <c r="AB257" s="18">
        <v>2</v>
      </c>
    </row>
    <row r="258" spans="2:28" ht="25.5" x14ac:dyDescent="0.2">
      <c r="B258" s="86"/>
      <c r="C258" s="89"/>
      <c r="D258" s="79"/>
      <c r="E258" s="79"/>
      <c r="F258" s="79"/>
      <c r="G258" s="81"/>
      <c r="H258" s="83"/>
      <c r="I258" s="15"/>
      <c r="J258" s="15"/>
      <c r="K258" s="102"/>
      <c r="L258" s="43">
        <v>13907.08</v>
      </c>
      <c r="M258" s="14" t="s">
        <v>349</v>
      </c>
      <c r="N258" s="19" t="s">
        <v>584</v>
      </c>
      <c r="O258" s="13" t="s">
        <v>583</v>
      </c>
      <c r="P258" s="14">
        <v>2</v>
      </c>
      <c r="Q258" s="14"/>
      <c r="R258" s="14"/>
      <c r="S258" s="14">
        <v>1</v>
      </c>
      <c r="T258" s="14"/>
      <c r="U258" s="14"/>
      <c r="V258" s="14"/>
      <c r="W258" s="14">
        <v>1</v>
      </c>
      <c r="X258" s="14"/>
      <c r="Y258" s="14"/>
      <c r="Z258" s="14"/>
      <c r="AA258" s="14"/>
      <c r="AB258" s="18"/>
    </row>
    <row r="259" spans="2:28" ht="25.5" x14ac:dyDescent="0.2">
      <c r="B259" s="86"/>
      <c r="C259" s="89"/>
      <c r="D259" s="79"/>
      <c r="E259" s="79"/>
      <c r="F259" s="79"/>
      <c r="G259" s="81"/>
      <c r="H259" s="83"/>
      <c r="I259" s="15"/>
      <c r="J259" s="15"/>
      <c r="K259" s="102"/>
      <c r="L259" s="43">
        <v>13907.009999999998</v>
      </c>
      <c r="M259" s="14" t="s">
        <v>465</v>
      </c>
      <c r="N259" s="19" t="s">
        <v>585</v>
      </c>
      <c r="O259" s="13" t="s">
        <v>586</v>
      </c>
      <c r="P259" s="14">
        <v>10</v>
      </c>
      <c r="Q259" s="14"/>
      <c r="R259" s="14">
        <v>3</v>
      </c>
      <c r="S259" s="14">
        <v>2</v>
      </c>
      <c r="T259" s="14">
        <v>2</v>
      </c>
      <c r="U259" s="14">
        <v>1</v>
      </c>
      <c r="V259" s="14"/>
      <c r="W259" s="14"/>
      <c r="X259" s="14">
        <v>1</v>
      </c>
      <c r="Y259" s="14"/>
      <c r="Z259" s="14"/>
      <c r="AA259" s="14">
        <v>1</v>
      </c>
      <c r="AB259" s="18"/>
    </row>
    <row r="260" spans="2:28" ht="38.25" x14ac:dyDescent="0.2">
      <c r="B260" s="86"/>
      <c r="C260" s="89"/>
      <c r="D260" s="79"/>
      <c r="E260" s="79"/>
      <c r="F260" s="79"/>
      <c r="G260" s="81"/>
      <c r="H260" s="83"/>
      <c r="I260" s="15"/>
      <c r="J260" s="15"/>
      <c r="K260" s="102"/>
      <c r="L260" s="43">
        <v>13907.05</v>
      </c>
      <c r="M260" s="14" t="s">
        <v>468</v>
      </c>
      <c r="N260" s="19" t="s">
        <v>587</v>
      </c>
      <c r="O260" s="13" t="s">
        <v>588</v>
      </c>
      <c r="P260" s="14">
        <v>1</v>
      </c>
      <c r="Q260" s="14"/>
      <c r="R260" s="14"/>
      <c r="S260" s="14">
        <v>1</v>
      </c>
      <c r="T260" s="14"/>
      <c r="U260" s="14"/>
      <c r="V260" s="14"/>
      <c r="W260" s="14"/>
      <c r="X260" s="14"/>
      <c r="Y260" s="14"/>
      <c r="Z260" s="14"/>
      <c r="AA260" s="14"/>
      <c r="AB260" s="18"/>
    </row>
    <row r="261" spans="2:28" ht="25.5" x14ac:dyDescent="0.2">
      <c r="B261" s="86"/>
      <c r="C261" s="89"/>
      <c r="D261" s="79"/>
      <c r="E261" s="79"/>
      <c r="F261" s="79"/>
      <c r="G261" s="81"/>
      <c r="H261" s="83"/>
      <c r="I261" s="15"/>
      <c r="J261" s="15"/>
      <c r="K261" s="102"/>
      <c r="L261" s="43">
        <v>13907.08</v>
      </c>
      <c r="M261" s="14" t="s">
        <v>471</v>
      </c>
      <c r="N261" s="19" t="s">
        <v>589</v>
      </c>
      <c r="O261" s="13" t="s">
        <v>590</v>
      </c>
      <c r="P261" s="14">
        <v>2</v>
      </c>
      <c r="Q261" s="14"/>
      <c r="R261" s="14"/>
      <c r="S261" s="14">
        <v>1</v>
      </c>
      <c r="T261" s="14"/>
      <c r="U261" s="14">
        <v>1</v>
      </c>
      <c r="V261" s="14"/>
      <c r="W261" s="14"/>
      <c r="X261" s="14"/>
      <c r="Y261" s="14"/>
      <c r="Z261" s="14"/>
      <c r="AA261" s="14"/>
      <c r="AB261" s="18"/>
    </row>
    <row r="262" spans="2:28" ht="25.5" x14ac:dyDescent="0.2">
      <c r="B262" s="86"/>
      <c r="C262" s="89"/>
      <c r="D262" s="79"/>
      <c r="E262" s="79"/>
      <c r="F262" s="79"/>
      <c r="G262" s="81"/>
      <c r="H262" s="83"/>
      <c r="I262" s="15"/>
      <c r="J262" s="15"/>
      <c r="K262" s="101"/>
      <c r="L262" s="43">
        <v>13907.05</v>
      </c>
      <c r="M262" s="14" t="s">
        <v>474</v>
      </c>
      <c r="N262" s="19" t="s">
        <v>591</v>
      </c>
      <c r="O262" s="13" t="s">
        <v>592</v>
      </c>
      <c r="P262" s="14">
        <v>1</v>
      </c>
      <c r="Q262" s="14"/>
      <c r="R262" s="14"/>
      <c r="S262" s="14">
        <v>1</v>
      </c>
      <c r="T262" s="14"/>
      <c r="U262" s="14"/>
      <c r="V262" s="14"/>
      <c r="W262" s="14"/>
      <c r="X262" s="14"/>
      <c r="Y262" s="14"/>
      <c r="Z262" s="14"/>
      <c r="AA262" s="14"/>
      <c r="AB262" s="18"/>
    </row>
    <row r="263" spans="2:28" ht="12.75" x14ac:dyDescent="0.2">
      <c r="B263" s="86"/>
      <c r="C263" s="89"/>
      <c r="D263" s="79"/>
      <c r="E263" s="79">
        <v>22</v>
      </c>
      <c r="F263" s="79" t="s">
        <v>801</v>
      </c>
      <c r="G263" s="81" t="s">
        <v>352</v>
      </c>
      <c r="H263" s="83" t="s">
        <v>593</v>
      </c>
      <c r="I263" s="15"/>
      <c r="J263" s="15"/>
      <c r="K263" s="100">
        <f>SUM(L263:L268)</f>
        <v>595468.81000000006</v>
      </c>
      <c r="L263" s="43">
        <v>509489.64000000007</v>
      </c>
      <c r="M263" s="14" t="s">
        <v>354</v>
      </c>
      <c r="N263" s="19" t="s">
        <v>141</v>
      </c>
      <c r="O263" s="13" t="s">
        <v>480</v>
      </c>
      <c r="P263" s="14">
        <v>25</v>
      </c>
      <c r="Q263" s="14">
        <v>2</v>
      </c>
      <c r="R263" s="14">
        <v>2</v>
      </c>
      <c r="S263" s="14">
        <v>2</v>
      </c>
      <c r="T263" s="14">
        <v>2</v>
      </c>
      <c r="U263" s="14">
        <v>2</v>
      </c>
      <c r="V263" s="14">
        <v>2</v>
      </c>
      <c r="W263" s="14">
        <v>2</v>
      </c>
      <c r="X263" s="14">
        <v>2</v>
      </c>
      <c r="Y263" s="14">
        <v>2</v>
      </c>
      <c r="Z263" s="14">
        <v>2</v>
      </c>
      <c r="AA263" s="14">
        <v>2</v>
      </c>
      <c r="AB263" s="18">
        <v>3</v>
      </c>
    </row>
    <row r="264" spans="2:28" ht="12.75" x14ac:dyDescent="0.2">
      <c r="B264" s="86"/>
      <c r="C264" s="89"/>
      <c r="D264" s="79"/>
      <c r="E264" s="79"/>
      <c r="F264" s="79"/>
      <c r="G264" s="81"/>
      <c r="H264" s="83"/>
      <c r="I264" s="15"/>
      <c r="J264" s="15"/>
      <c r="K264" s="102"/>
      <c r="L264" s="43">
        <v>4444.7299999999996</v>
      </c>
      <c r="M264" s="14" t="s">
        <v>355</v>
      </c>
      <c r="N264" s="19" t="s">
        <v>594</v>
      </c>
      <c r="O264" s="13" t="s">
        <v>595</v>
      </c>
      <c r="P264" s="14">
        <v>1</v>
      </c>
      <c r="Q264" s="14"/>
      <c r="R264" s="14"/>
      <c r="S264" s="14"/>
      <c r="T264" s="14"/>
      <c r="U264" s="14">
        <v>1</v>
      </c>
      <c r="V264" s="14"/>
      <c r="W264" s="14"/>
      <c r="X264" s="14"/>
      <c r="Y264" s="14"/>
      <c r="Z264" s="14"/>
      <c r="AA264" s="14"/>
      <c r="AB264" s="18"/>
    </row>
    <row r="265" spans="2:28" ht="38.25" x14ac:dyDescent="0.2">
      <c r="B265" s="86"/>
      <c r="C265" s="89"/>
      <c r="D265" s="79"/>
      <c r="E265" s="79"/>
      <c r="F265" s="79"/>
      <c r="G265" s="81"/>
      <c r="H265" s="83"/>
      <c r="I265" s="15"/>
      <c r="J265" s="15"/>
      <c r="K265" s="102"/>
      <c r="L265" s="43">
        <v>24283.559999999998</v>
      </c>
      <c r="M265" s="14" t="s">
        <v>358</v>
      </c>
      <c r="N265" s="19" t="s">
        <v>596</v>
      </c>
      <c r="O265" s="13" t="s">
        <v>597</v>
      </c>
      <c r="P265" s="14">
        <v>12</v>
      </c>
      <c r="Q265" s="14">
        <v>1</v>
      </c>
      <c r="R265" s="14">
        <v>1</v>
      </c>
      <c r="S265" s="14">
        <v>1</v>
      </c>
      <c r="T265" s="14">
        <v>1</v>
      </c>
      <c r="U265" s="14">
        <v>1</v>
      </c>
      <c r="V265" s="14">
        <v>1</v>
      </c>
      <c r="W265" s="14">
        <v>1</v>
      </c>
      <c r="X265" s="14">
        <v>1</v>
      </c>
      <c r="Y265" s="14">
        <v>1</v>
      </c>
      <c r="Z265" s="14">
        <v>1</v>
      </c>
      <c r="AA265" s="14">
        <v>1</v>
      </c>
      <c r="AB265" s="18">
        <v>1</v>
      </c>
    </row>
    <row r="266" spans="2:28" ht="25.5" x14ac:dyDescent="0.2">
      <c r="B266" s="86"/>
      <c r="C266" s="89"/>
      <c r="D266" s="79"/>
      <c r="E266" s="79"/>
      <c r="F266" s="79"/>
      <c r="G266" s="81"/>
      <c r="H266" s="83"/>
      <c r="I266" s="15"/>
      <c r="J266" s="15"/>
      <c r="K266" s="102"/>
      <c r="L266" s="43">
        <v>19083.599999999999</v>
      </c>
      <c r="M266" s="14" t="s">
        <v>361</v>
      </c>
      <c r="N266" s="19" t="s">
        <v>598</v>
      </c>
      <c r="O266" s="13" t="s">
        <v>599</v>
      </c>
      <c r="P266" s="14">
        <v>12</v>
      </c>
      <c r="Q266" s="14">
        <v>1</v>
      </c>
      <c r="R266" s="14">
        <v>1</v>
      </c>
      <c r="S266" s="14">
        <v>1</v>
      </c>
      <c r="T266" s="14">
        <v>1</v>
      </c>
      <c r="U266" s="14">
        <v>1</v>
      </c>
      <c r="V266" s="14">
        <v>1</v>
      </c>
      <c r="W266" s="14">
        <v>1</v>
      </c>
      <c r="X266" s="14">
        <v>1</v>
      </c>
      <c r="Y266" s="14">
        <v>1</v>
      </c>
      <c r="Z266" s="14">
        <v>1</v>
      </c>
      <c r="AA266" s="14">
        <v>1</v>
      </c>
      <c r="AB266" s="18">
        <v>1</v>
      </c>
    </row>
    <row r="267" spans="2:28" ht="12.75" x14ac:dyDescent="0.2">
      <c r="B267" s="86"/>
      <c r="C267" s="89"/>
      <c r="D267" s="79"/>
      <c r="E267" s="79"/>
      <c r="F267" s="79"/>
      <c r="G267" s="81"/>
      <c r="H267" s="83"/>
      <c r="I267" s="15"/>
      <c r="J267" s="15"/>
      <c r="K267" s="102"/>
      <c r="L267" s="43">
        <v>19083.68</v>
      </c>
      <c r="M267" s="14" t="s">
        <v>600</v>
      </c>
      <c r="N267" s="19" t="s">
        <v>601</v>
      </c>
      <c r="O267" s="13" t="s">
        <v>599</v>
      </c>
      <c r="P267" s="14">
        <v>40</v>
      </c>
      <c r="Q267" s="14"/>
      <c r="R267" s="14"/>
      <c r="S267" s="14">
        <v>5</v>
      </c>
      <c r="T267" s="14">
        <v>5</v>
      </c>
      <c r="U267" s="14">
        <v>5</v>
      </c>
      <c r="V267" s="14">
        <v>5</v>
      </c>
      <c r="W267" s="14"/>
      <c r="X267" s="14">
        <v>5</v>
      </c>
      <c r="Y267" s="14">
        <v>5</v>
      </c>
      <c r="Z267" s="14"/>
      <c r="AA267" s="14">
        <v>5</v>
      </c>
      <c r="AB267" s="18">
        <v>5</v>
      </c>
    </row>
    <row r="268" spans="2:28" ht="25.5" x14ac:dyDescent="0.2">
      <c r="B268" s="86"/>
      <c r="C268" s="89"/>
      <c r="D268" s="79"/>
      <c r="E268" s="79"/>
      <c r="F268" s="79"/>
      <c r="G268" s="81"/>
      <c r="H268" s="83"/>
      <c r="I268" s="15"/>
      <c r="J268" s="15"/>
      <c r="K268" s="101"/>
      <c r="L268" s="43">
        <v>19083.599999999999</v>
      </c>
      <c r="M268" s="14" t="s">
        <v>602</v>
      </c>
      <c r="N268" s="19" t="s">
        <v>603</v>
      </c>
      <c r="O268" s="13" t="s">
        <v>597</v>
      </c>
      <c r="P268" s="14">
        <v>12</v>
      </c>
      <c r="Q268" s="14">
        <v>1</v>
      </c>
      <c r="R268" s="14">
        <v>1</v>
      </c>
      <c r="S268" s="14">
        <v>1</v>
      </c>
      <c r="T268" s="14">
        <v>1</v>
      </c>
      <c r="U268" s="14">
        <v>1</v>
      </c>
      <c r="V268" s="14">
        <v>1</v>
      </c>
      <c r="W268" s="14">
        <v>1</v>
      </c>
      <c r="X268" s="14">
        <v>1</v>
      </c>
      <c r="Y268" s="14">
        <v>1</v>
      </c>
      <c r="Z268" s="14">
        <v>1</v>
      </c>
      <c r="AA268" s="14">
        <v>1</v>
      </c>
      <c r="AB268" s="18">
        <v>1</v>
      </c>
    </row>
    <row r="269" spans="2:28" ht="12.75" x14ac:dyDescent="0.2">
      <c r="B269" s="86"/>
      <c r="C269" s="89"/>
      <c r="D269" s="79"/>
      <c r="E269" s="79">
        <v>0</v>
      </c>
      <c r="F269" s="79" t="s">
        <v>802</v>
      </c>
      <c r="G269" s="81" t="s">
        <v>364</v>
      </c>
      <c r="H269" s="83" t="s">
        <v>604</v>
      </c>
      <c r="I269" s="15"/>
      <c r="J269" s="15"/>
      <c r="K269" s="100">
        <f>SUM(L269:L277)</f>
        <v>241487.95</v>
      </c>
      <c r="L269" s="43">
        <v>141487.91999999998</v>
      </c>
      <c r="M269" s="49" t="s">
        <v>605</v>
      </c>
      <c r="N269" s="19" t="s">
        <v>141</v>
      </c>
      <c r="O269" s="13" t="s">
        <v>480</v>
      </c>
      <c r="P269" s="14">
        <v>25</v>
      </c>
      <c r="Q269" s="14">
        <v>2</v>
      </c>
      <c r="R269" s="14">
        <v>2</v>
      </c>
      <c r="S269" s="14">
        <v>2</v>
      </c>
      <c r="T269" s="14">
        <v>2</v>
      </c>
      <c r="U269" s="14">
        <v>2</v>
      </c>
      <c r="V269" s="14">
        <v>2</v>
      </c>
      <c r="W269" s="14">
        <v>2</v>
      </c>
      <c r="X269" s="14">
        <v>2</v>
      </c>
      <c r="Y269" s="14">
        <v>2</v>
      </c>
      <c r="Z269" s="14">
        <v>2</v>
      </c>
      <c r="AA269" s="14">
        <v>2</v>
      </c>
      <c r="AB269" s="18">
        <v>3</v>
      </c>
    </row>
    <row r="270" spans="2:28" ht="25.5" x14ac:dyDescent="0.2">
      <c r="B270" s="86"/>
      <c r="C270" s="89"/>
      <c r="D270" s="79"/>
      <c r="E270" s="79"/>
      <c r="F270" s="79"/>
      <c r="G270" s="81"/>
      <c r="H270" s="83"/>
      <c r="I270" s="15"/>
      <c r="J270" s="15"/>
      <c r="K270" s="102"/>
      <c r="L270" s="43">
        <v>12500</v>
      </c>
      <c r="M270" s="49" t="s">
        <v>606</v>
      </c>
      <c r="N270" s="19" t="s">
        <v>607</v>
      </c>
      <c r="O270" s="13" t="s">
        <v>608</v>
      </c>
      <c r="P270" s="14">
        <v>2</v>
      </c>
      <c r="Q270" s="14">
        <v>1</v>
      </c>
      <c r="R270" s="14"/>
      <c r="S270" s="14"/>
      <c r="T270" s="14"/>
      <c r="U270" s="14"/>
      <c r="V270" s="14"/>
      <c r="W270" s="14">
        <v>1</v>
      </c>
      <c r="X270" s="14"/>
      <c r="Y270" s="14"/>
      <c r="Z270" s="14"/>
      <c r="AA270" s="14"/>
      <c r="AB270" s="18"/>
    </row>
    <row r="271" spans="2:28" ht="25.5" x14ac:dyDescent="0.2">
      <c r="B271" s="86"/>
      <c r="C271" s="89"/>
      <c r="D271" s="79"/>
      <c r="E271" s="79"/>
      <c r="F271" s="79"/>
      <c r="G271" s="81"/>
      <c r="H271" s="83"/>
      <c r="I271" s="15"/>
      <c r="J271" s="15"/>
      <c r="K271" s="102"/>
      <c r="L271" s="43">
        <v>12500</v>
      </c>
      <c r="M271" s="49" t="s">
        <v>609</v>
      </c>
      <c r="N271" s="19" t="s">
        <v>610</v>
      </c>
      <c r="O271" s="13" t="s">
        <v>611</v>
      </c>
      <c r="P271" s="14">
        <v>10</v>
      </c>
      <c r="Q271" s="14"/>
      <c r="R271" s="14"/>
      <c r="S271" s="14">
        <v>1</v>
      </c>
      <c r="T271" s="14">
        <v>1</v>
      </c>
      <c r="U271" s="14">
        <v>1</v>
      </c>
      <c r="V271" s="14">
        <v>1</v>
      </c>
      <c r="W271" s="14">
        <v>1</v>
      </c>
      <c r="X271" s="14">
        <v>1</v>
      </c>
      <c r="Y271" s="14">
        <v>1</v>
      </c>
      <c r="Z271" s="14">
        <v>1</v>
      </c>
      <c r="AA271" s="14">
        <v>1</v>
      </c>
      <c r="AB271" s="18">
        <v>1</v>
      </c>
    </row>
    <row r="272" spans="2:28" ht="12.75" x14ac:dyDescent="0.2">
      <c r="B272" s="86"/>
      <c r="C272" s="89"/>
      <c r="D272" s="79"/>
      <c r="E272" s="79"/>
      <c r="F272" s="79"/>
      <c r="G272" s="81"/>
      <c r="H272" s="83"/>
      <c r="I272" s="15"/>
      <c r="J272" s="15"/>
      <c r="K272" s="102"/>
      <c r="L272" s="43">
        <v>12500.01</v>
      </c>
      <c r="M272" s="49" t="s">
        <v>612</v>
      </c>
      <c r="N272" s="19" t="s">
        <v>613</v>
      </c>
      <c r="O272" s="13" t="s">
        <v>614</v>
      </c>
      <c r="P272" s="14">
        <v>3</v>
      </c>
      <c r="Q272" s="14"/>
      <c r="R272" s="14"/>
      <c r="S272" s="14">
        <v>1</v>
      </c>
      <c r="T272" s="14"/>
      <c r="U272" s="14"/>
      <c r="V272" s="14">
        <v>1</v>
      </c>
      <c r="W272" s="14"/>
      <c r="X272" s="14"/>
      <c r="Y272" s="14">
        <v>1</v>
      </c>
      <c r="Z272" s="14"/>
      <c r="AA272" s="14"/>
      <c r="AB272" s="18"/>
    </row>
    <row r="273" spans="2:28" ht="12.75" x14ac:dyDescent="0.2">
      <c r="B273" s="86"/>
      <c r="C273" s="89"/>
      <c r="D273" s="79"/>
      <c r="E273" s="79"/>
      <c r="F273" s="79"/>
      <c r="G273" s="81"/>
      <c r="H273" s="83"/>
      <c r="I273" s="15"/>
      <c r="J273" s="15"/>
      <c r="K273" s="102"/>
      <c r="L273" s="43">
        <v>12500</v>
      </c>
      <c r="M273" s="49" t="s">
        <v>615</v>
      </c>
      <c r="N273" s="19" t="s">
        <v>616</v>
      </c>
      <c r="O273" s="13" t="s">
        <v>614</v>
      </c>
      <c r="P273" s="14">
        <v>4</v>
      </c>
      <c r="Q273" s="14">
        <v>4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8"/>
    </row>
    <row r="274" spans="2:28" ht="12.75" x14ac:dyDescent="0.2">
      <c r="B274" s="86"/>
      <c r="C274" s="89"/>
      <c r="D274" s="79"/>
      <c r="E274" s="79"/>
      <c r="F274" s="79"/>
      <c r="G274" s="81"/>
      <c r="H274" s="83"/>
      <c r="I274" s="15"/>
      <c r="J274" s="15"/>
      <c r="K274" s="102"/>
      <c r="L274" s="43">
        <v>12500</v>
      </c>
      <c r="M274" s="49" t="s">
        <v>617</v>
      </c>
      <c r="N274" s="19" t="s">
        <v>618</v>
      </c>
      <c r="O274" s="13" t="s">
        <v>614</v>
      </c>
      <c r="P274" s="14">
        <v>2</v>
      </c>
      <c r="Q274" s="14"/>
      <c r="R274" s="14"/>
      <c r="S274" s="14"/>
      <c r="T274" s="14"/>
      <c r="U274" s="14">
        <v>1</v>
      </c>
      <c r="V274" s="14"/>
      <c r="W274" s="14"/>
      <c r="X274" s="14"/>
      <c r="Y274" s="14"/>
      <c r="Z274" s="14">
        <v>1</v>
      </c>
      <c r="AA274" s="14"/>
      <c r="AB274" s="18"/>
    </row>
    <row r="275" spans="2:28" ht="12.75" x14ac:dyDescent="0.2">
      <c r="B275" s="86"/>
      <c r="C275" s="89"/>
      <c r="D275" s="79"/>
      <c r="E275" s="79"/>
      <c r="F275" s="79"/>
      <c r="G275" s="81"/>
      <c r="H275" s="83"/>
      <c r="I275" s="15"/>
      <c r="J275" s="15"/>
      <c r="K275" s="102"/>
      <c r="L275" s="43">
        <v>12500</v>
      </c>
      <c r="M275" s="49" t="s">
        <v>619</v>
      </c>
      <c r="N275" s="19" t="s">
        <v>620</v>
      </c>
      <c r="O275" s="13" t="s">
        <v>614</v>
      </c>
      <c r="P275" s="14">
        <v>1</v>
      </c>
      <c r="Q275" s="14"/>
      <c r="R275" s="14"/>
      <c r="S275" s="14"/>
      <c r="T275" s="14"/>
      <c r="U275" s="14"/>
      <c r="V275" s="14"/>
      <c r="W275" s="14">
        <v>1</v>
      </c>
      <c r="X275" s="14"/>
      <c r="Y275" s="14"/>
      <c r="Z275" s="14"/>
      <c r="AA275" s="14"/>
      <c r="AB275" s="18"/>
    </row>
    <row r="276" spans="2:28" ht="25.5" x14ac:dyDescent="0.2">
      <c r="B276" s="86"/>
      <c r="C276" s="89"/>
      <c r="D276" s="79"/>
      <c r="E276" s="79"/>
      <c r="F276" s="79"/>
      <c r="G276" s="81"/>
      <c r="H276" s="83"/>
      <c r="I276" s="15"/>
      <c r="J276" s="15"/>
      <c r="K276" s="102"/>
      <c r="L276" s="43">
        <v>12500.01</v>
      </c>
      <c r="M276" s="49" t="s">
        <v>621</v>
      </c>
      <c r="N276" s="19" t="s">
        <v>622</v>
      </c>
      <c r="O276" s="13" t="s">
        <v>614</v>
      </c>
      <c r="P276" s="14">
        <v>3</v>
      </c>
      <c r="Q276" s="14"/>
      <c r="R276" s="14"/>
      <c r="S276" s="14">
        <v>1</v>
      </c>
      <c r="T276" s="14"/>
      <c r="U276" s="14"/>
      <c r="V276" s="14">
        <v>1</v>
      </c>
      <c r="W276" s="14"/>
      <c r="X276" s="14"/>
      <c r="Y276" s="14">
        <v>1</v>
      </c>
      <c r="Z276" s="14"/>
      <c r="AA276" s="14"/>
      <c r="AB276" s="18"/>
    </row>
    <row r="277" spans="2:28" ht="12.75" x14ac:dyDescent="0.2">
      <c r="B277" s="86"/>
      <c r="C277" s="89"/>
      <c r="D277" s="79"/>
      <c r="E277" s="79"/>
      <c r="F277" s="79"/>
      <c r="G277" s="81"/>
      <c r="H277" s="83"/>
      <c r="I277" s="15"/>
      <c r="J277" s="15"/>
      <c r="K277" s="101"/>
      <c r="L277" s="43">
        <v>12500.01</v>
      </c>
      <c r="M277" s="49" t="s">
        <v>623</v>
      </c>
      <c r="N277" s="19" t="s">
        <v>624</v>
      </c>
      <c r="O277" s="13" t="s">
        <v>614</v>
      </c>
      <c r="P277" s="14">
        <v>3</v>
      </c>
      <c r="Q277" s="14"/>
      <c r="R277" s="14"/>
      <c r="S277" s="14"/>
      <c r="T277" s="14">
        <v>1</v>
      </c>
      <c r="U277" s="14"/>
      <c r="V277" s="14"/>
      <c r="W277" s="14">
        <v>1</v>
      </c>
      <c r="X277" s="14"/>
      <c r="Y277" s="14"/>
      <c r="Z277" s="14">
        <v>1</v>
      </c>
      <c r="AA277" s="14"/>
      <c r="AB277" s="18"/>
    </row>
    <row r="278" spans="2:28" ht="12.75" x14ac:dyDescent="0.2">
      <c r="B278" s="86"/>
      <c r="C278" s="89"/>
      <c r="D278" s="79"/>
      <c r="E278" s="79">
        <v>21</v>
      </c>
      <c r="F278" s="79" t="s">
        <v>803</v>
      </c>
      <c r="G278" s="81" t="s">
        <v>373</v>
      </c>
      <c r="H278" s="83" t="s">
        <v>625</v>
      </c>
      <c r="I278" s="15"/>
      <c r="J278" s="15"/>
      <c r="K278" s="100">
        <f>SUM(L278:L282)</f>
        <v>2736012.87</v>
      </c>
      <c r="L278" s="43">
        <v>2471643.04</v>
      </c>
      <c r="M278" s="78" t="s">
        <v>375</v>
      </c>
      <c r="N278" s="19" t="s">
        <v>141</v>
      </c>
      <c r="O278" s="13" t="s">
        <v>480</v>
      </c>
      <c r="P278" s="14">
        <v>25</v>
      </c>
      <c r="Q278" s="14">
        <v>2</v>
      </c>
      <c r="R278" s="14">
        <v>2</v>
      </c>
      <c r="S278" s="14">
        <v>2</v>
      </c>
      <c r="T278" s="14">
        <v>2</v>
      </c>
      <c r="U278" s="14">
        <v>2</v>
      </c>
      <c r="V278" s="14">
        <v>2</v>
      </c>
      <c r="W278" s="14">
        <v>2</v>
      </c>
      <c r="X278" s="14">
        <v>2</v>
      </c>
      <c r="Y278" s="14">
        <v>2</v>
      </c>
      <c r="Z278" s="14">
        <v>2</v>
      </c>
      <c r="AA278" s="14">
        <v>2</v>
      </c>
      <c r="AB278" s="18">
        <v>3</v>
      </c>
    </row>
    <row r="279" spans="2:28" ht="12.75" x14ac:dyDescent="0.2">
      <c r="B279" s="86"/>
      <c r="C279" s="89"/>
      <c r="D279" s="79"/>
      <c r="E279" s="79"/>
      <c r="F279" s="79"/>
      <c r="G279" s="81"/>
      <c r="H279" s="83"/>
      <c r="I279" s="15"/>
      <c r="J279" s="15"/>
      <c r="K279" s="102"/>
      <c r="L279" s="43">
        <v>9179.68</v>
      </c>
      <c r="M279" s="49" t="s">
        <v>626</v>
      </c>
      <c r="N279" s="19" t="s">
        <v>627</v>
      </c>
      <c r="O279" s="13" t="s">
        <v>628</v>
      </c>
      <c r="P279" s="14">
        <v>1</v>
      </c>
      <c r="Q279" s="14"/>
      <c r="R279" s="14">
        <v>1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8"/>
    </row>
    <row r="280" spans="2:28" ht="12.75" x14ac:dyDescent="0.2">
      <c r="B280" s="86"/>
      <c r="C280" s="89"/>
      <c r="D280" s="79"/>
      <c r="E280" s="79"/>
      <c r="F280" s="79"/>
      <c r="G280" s="81"/>
      <c r="H280" s="83"/>
      <c r="I280" s="15"/>
      <c r="J280" s="15"/>
      <c r="K280" s="102"/>
      <c r="L280" s="43">
        <v>9179.68</v>
      </c>
      <c r="M280" s="49" t="s">
        <v>629</v>
      </c>
      <c r="N280" s="19" t="s">
        <v>630</v>
      </c>
      <c r="O280" s="13" t="s">
        <v>628</v>
      </c>
      <c r="P280" s="14">
        <v>1</v>
      </c>
      <c r="Q280" s="14"/>
      <c r="R280" s="14"/>
      <c r="S280" s="14">
        <v>1</v>
      </c>
      <c r="T280" s="14"/>
      <c r="U280" s="14"/>
      <c r="V280" s="14"/>
      <c r="W280" s="14"/>
      <c r="X280" s="14"/>
      <c r="Y280" s="14"/>
      <c r="Z280" s="14"/>
      <c r="AA280" s="14"/>
      <c r="AB280" s="18"/>
    </row>
    <row r="281" spans="2:28" ht="25.5" x14ac:dyDescent="0.2">
      <c r="B281" s="86"/>
      <c r="C281" s="89"/>
      <c r="D281" s="79"/>
      <c r="E281" s="79"/>
      <c r="F281" s="79"/>
      <c r="G281" s="81"/>
      <c r="H281" s="83"/>
      <c r="I281" s="15"/>
      <c r="J281" s="15"/>
      <c r="K281" s="102"/>
      <c r="L281" s="43">
        <v>10306.17</v>
      </c>
      <c r="M281" s="49" t="s">
        <v>631</v>
      </c>
      <c r="N281" s="19" t="s">
        <v>632</v>
      </c>
      <c r="O281" s="13" t="s">
        <v>599</v>
      </c>
      <c r="P281" s="14">
        <v>3</v>
      </c>
      <c r="Q281" s="14">
        <v>1</v>
      </c>
      <c r="R281" s="14">
        <v>1</v>
      </c>
      <c r="S281" s="14">
        <v>1</v>
      </c>
      <c r="T281" s="14"/>
      <c r="U281" s="14"/>
      <c r="V281" s="14"/>
      <c r="W281" s="14"/>
      <c r="X281" s="14"/>
      <c r="Y281" s="14"/>
      <c r="Z281" s="14"/>
      <c r="AA281" s="14"/>
      <c r="AB281" s="18"/>
    </row>
    <row r="282" spans="2:28" ht="26.25" thickBot="1" x14ac:dyDescent="0.25">
      <c r="B282" s="87"/>
      <c r="C282" s="90"/>
      <c r="D282" s="80"/>
      <c r="E282" s="80"/>
      <c r="F282" s="80"/>
      <c r="G282" s="82"/>
      <c r="H282" s="84"/>
      <c r="I282" s="24"/>
      <c r="J282" s="24"/>
      <c r="K282" s="103"/>
      <c r="L282" s="44">
        <v>235704.30000000002</v>
      </c>
      <c r="M282" s="50" t="s">
        <v>633</v>
      </c>
      <c r="N282" s="25" t="s">
        <v>634</v>
      </c>
      <c r="O282" s="22" t="s">
        <v>599</v>
      </c>
      <c r="P282" s="23">
        <v>3</v>
      </c>
      <c r="Q282" s="23"/>
      <c r="R282" s="23"/>
      <c r="S282" s="23">
        <v>1</v>
      </c>
      <c r="T282" s="23"/>
      <c r="U282" s="23"/>
      <c r="V282" s="23">
        <v>1</v>
      </c>
      <c r="W282" s="23"/>
      <c r="X282" s="23"/>
      <c r="Y282" s="23">
        <v>1</v>
      </c>
      <c r="Z282" s="23"/>
      <c r="AA282" s="23"/>
      <c r="AB282" s="26"/>
    </row>
    <row r="283" spans="2:28" ht="13.5" thickBot="1" x14ac:dyDescent="0.25">
      <c r="B283" s="30"/>
      <c r="C283" s="40"/>
      <c r="D283" s="40"/>
      <c r="E283" s="40"/>
      <c r="F283" s="40"/>
      <c r="G283" s="61"/>
      <c r="H283" s="40"/>
      <c r="I283" s="40"/>
      <c r="J283" s="40"/>
      <c r="K283" s="62">
        <f>SUM(K203:K282)</f>
        <v>28293530.050000001</v>
      </c>
      <c r="L283" s="33"/>
      <c r="M283" s="30"/>
      <c r="N283" s="63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 spans="2:28" ht="12.75" x14ac:dyDescent="0.2">
      <c r="B284" s="85" t="s">
        <v>635</v>
      </c>
      <c r="C284" s="88" t="s">
        <v>636</v>
      </c>
      <c r="D284" s="112">
        <f>SUM(K284:K301)</f>
        <v>10028321.060000001</v>
      </c>
      <c r="E284" s="91">
        <v>38</v>
      </c>
      <c r="F284" s="91" t="s">
        <v>804</v>
      </c>
      <c r="G284" s="92" t="s">
        <v>23</v>
      </c>
      <c r="H284" s="93" t="s">
        <v>637</v>
      </c>
      <c r="I284" s="9"/>
      <c r="J284" s="9"/>
      <c r="K284" s="111">
        <f>SUM(L284:L288)</f>
        <v>8239938.6200000001</v>
      </c>
      <c r="L284" s="42">
        <v>7689667.1000000006</v>
      </c>
      <c r="M284" s="8" t="s">
        <v>117</v>
      </c>
      <c r="N284" s="10" t="s">
        <v>25</v>
      </c>
      <c r="O284" s="8" t="s">
        <v>638</v>
      </c>
      <c r="P284" s="8">
        <v>25</v>
      </c>
      <c r="Q284" s="8">
        <v>2</v>
      </c>
      <c r="R284" s="8">
        <v>2</v>
      </c>
      <c r="S284" s="8">
        <v>2</v>
      </c>
      <c r="T284" s="8">
        <v>2</v>
      </c>
      <c r="U284" s="8">
        <v>2</v>
      </c>
      <c r="V284" s="8">
        <v>2</v>
      </c>
      <c r="W284" s="8">
        <v>2</v>
      </c>
      <c r="X284" s="8">
        <v>2</v>
      </c>
      <c r="Y284" s="8">
        <v>2</v>
      </c>
      <c r="Z284" s="8">
        <v>2</v>
      </c>
      <c r="AA284" s="8">
        <v>2</v>
      </c>
      <c r="AB284" s="11">
        <v>3</v>
      </c>
    </row>
    <row r="285" spans="2:28" ht="51" x14ac:dyDescent="0.2">
      <c r="B285" s="86"/>
      <c r="C285" s="89"/>
      <c r="D285" s="79"/>
      <c r="E285" s="79"/>
      <c r="F285" s="79"/>
      <c r="G285" s="81"/>
      <c r="H285" s="83"/>
      <c r="I285" s="15"/>
      <c r="J285" s="15"/>
      <c r="K285" s="102"/>
      <c r="L285" s="43">
        <v>137567.88</v>
      </c>
      <c r="M285" s="14" t="s">
        <v>143</v>
      </c>
      <c r="N285" s="19" t="s">
        <v>639</v>
      </c>
      <c r="O285" s="13" t="s">
        <v>640</v>
      </c>
      <c r="P285" s="14">
        <v>720</v>
      </c>
      <c r="Q285" s="14">
        <v>60</v>
      </c>
      <c r="R285" s="14">
        <v>60</v>
      </c>
      <c r="S285" s="14">
        <v>60</v>
      </c>
      <c r="T285" s="14">
        <v>60</v>
      </c>
      <c r="U285" s="14">
        <v>60</v>
      </c>
      <c r="V285" s="14">
        <v>60</v>
      </c>
      <c r="W285" s="14">
        <v>60</v>
      </c>
      <c r="X285" s="14">
        <v>60</v>
      </c>
      <c r="Y285" s="14">
        <v>60</v>
      </c>
      <c r="Z285" s="14">
        <v>60</v>
      </c>
      <c r="AA285" s="14">
        <v>60</v>
      </c>
      <c r="AB285" s="18">
        <v>60</v>
      </c>
    </row>
    <row r="286" spans="2:28" ht="25.5" x14ac:dyDescent="0.2">
      <c r="B286" s="86"/>
      <c r="C286" s="89"/>
      <c r="D286" s="79"/>
      <c r="E286" s="79"/>
      <c r="F286" s="79"/>
      <c r="G286" s="81"/>
      <c r="H286" s="83"/>
      <c r="I286" s="15"/>
      <c r="J286" s="15"/>
      <c r="K286" s="102"/>
      <c r="L286" s="43">
        <v>137567.88</v>
      </c>
      <c r="M286" s="14" t="s">
        <v>146</v>
      </c>
      <c r="N286" s="19" t="s">
        <v>641</v>
      </c>
      <c r="O286" s="13" t="s">
        <v>642</v>
      </c>
      <c r="P286" s="14">
        <v>12</v>
      </c>
      <c r="Q286" s="14">
        <v>1</v>
      </c>
      <c r="R286" s="14">
        <v>1</v>
      </c>
      <c r="S286" s="14">
        <v>1</v>
      </c>
      <c r="T286" s="14">
        <v>1</v>
      </c>
      <c r="U286" s="14">
        <v>1</v>
      </c>
      <c r="V286" s="14">
        <v>1</v>
      </c>
      <c r="W286" s="14">
        <v>1</v>
      </c>
      <c r="X286" s="14">
        <v>1</v>
      </c>
      <c r="Y286" s="14">
        <v>1</v>
      </c>
      <c r="Z286" s="14">
        <v>1</v>
      </c>
      <c r="AA286" s="14">
        <v>1</v>
      </c>
      <c r="AB286" s="18">
        <v>1</v>
      </c>
    </row>
    <row r="287" spans="2:28" ht="25.5" x14ac:dyDescent="0.2">
      <c r="B287" s="86"/>
      <c r="C287" s="89"/>
      <c r="D287" s="79"/>
      <c r="E287" s="79"/>
      <c r="F287" s="79"/>
      <c r="G287" s="81"/>
      <c r="H287" s="83"/>
      <c r="I287" s="15"/>
      <c r="J287" s="15"/>
      <c r="K287" s="102"/>
      <c r="L287" s="43">
        <v>137567.88</v>
      </c>
      <c r="M287" s="14" t="s">
        <v>149</v>
      </c>
      <c r="N287" s="19" t="s">
        <v>643</v>
      </c>
      <c r="O287" s="13" t="s">
        <v>644</v>
      </c>
      <c r="P287" s="14">
        <v>12</v>
      </c>
      <c r="Q287" s="14">
        <v>1</v>
      </c>
      <c r="R287" s="14">
        <v>1</v>
      </c>
      <c r="S287" s="14">
        <v>1</v>
      </c>
      <c r="T287" s="14">
        <v>1</v>
      </c>
      <c r="U287" s="14">
        <v>1</v>
      </c>
      <c r="V287" s="14">
        <v>1</v>
      </c>
      <c r="W287" s="14">
        <v>1</v>
      </c>
      <c r="X287" s="14">
        <v>1</v>
      </c>
      <c r="Y287" s="14">
        <v>1</v>
      </c>
      <c r="Z287" s="14">
        <v>1</v>
      </c>
      <c r="AA287" s="14">
        <v>1</v>
      </c>
      <c r="AB287" s="18">
        <v>1</v>
      </c>
    </row>
    <row r="288" spans="2:28" ht="25.5" x14ac:dyDescent="0.2">
      <c r="B288" s="86"/>
      <c r="C288" s="89"/>
      <c r="D288" s="79"/>
      <c r="E288" s="79"/>
      <c r="F288" s="79"/>
      <c r="G288" s="81"/>
      <c r="H288" s="83"/>
      <c r="I288" s="15"/>
      <c r="J288" s="15"/>
      <c r="K288" s="101"/>
      <c r="L288" s="43">
        <v>137567.88</v>
      </c>
      <c r="M288" s="14" t="s">
        <v>152</v>
      </c>
      <c r="N288" s="19" t="s">
        <v>645</v>
      </c>
      <c r="O288" s="14" t="s">
        <v>646</v>
      </c>
      <c r="P288" s="14">
        <v>8</v>
      </c>
      <c r="Q288" s="14"/>
      <c r="R288" s="14">
        <v>1</v>
      </c>
      <c r="S288" s="14">
        <v>1</v>
      </c>
      <c r="T288" s="14">
        <v>1</v>
      </c>
      <c r="U288" s="14">
        <v>1</v>
      </c>
      <c r="V288" s="14">
        <v>1</v>
      </c>
      <c r="W288" s="14"/>
      <c r="X288" s="14">
        <v>1</v>
      </c>
      <c r="Y288" s="14">
        <v>1</v>
      </c>
      <c r="Z288" s="14">
        <v>1</v>
      </c>
      <c r="AA288" s="14"/>
      <c r="AB288" s="18"/>
    </row>
    <row r="289" spans="2:28" ht="25.5" x14ac:dyDescent="0.2">
      <c r="B289" s="86"/>
      <c r="C289" s="89"/>
      <c r="D289" s="79"/>
      <c r="E289" s="79"/>
      <c r="F289" s="79"/>
      <c r="G289" s="81" t="s">
        <v>48</v>
      </c>
      <c r="H289" s="83" t="s">
        <v>647</v>
      </c>
      <c r="I289" s="15"/>
      <c r="J289" s="15"/>
      <c r="K289" s="100">
        <f>SUM(L289:L296)</f>
        <v>1100543.04</v>
      </c>
      <c r="L289" s="43">
        <v>137567.88</v>
      </c>
      <c r="M289" s="14" t="s">
        <v>159</v>
      </c>
      <c r="N289" s="19" t="s">
        <v>648</v>
      </c>
      <c r="O289" s="14" t="s">
        <v>649</v>
      </c>
      <c r="P289" s="14">
        <v>3600</v>
      </c>
      <c r="Q289" s="14">
        <v>300</v>
      </c>
      <c r="R289" s="14">
        <v>300</v>
      </c>
      <c r="S289" s="14">
        <v>300</v>
      </c>
      <c r="T289" s="14">
        <v>300</v>
      </c>
      <c r="U289" s="14">
        <v>300</v>
      </c>
      <c r="V289" s="14">
        <v>300</v>
      </c>
      <c r="W289" s="14">
        <v>300</v>
      </c>
      <c r="X289" s="14">
        <v>300</v>
      </c>
      <c r="Y289" s="14">
        <v>300</v>
      </c>
      <c r="Z289" s="14">
        <v>300</v>
      </c>
      <c r="AA289" s="14">
        <v>300</v>
      </c>
      <c r="AB289" s="18">
        <v>300</v>
      </c>
    </row>
    <row r="290" spans="2:28" ht="38.25" x14ac:dyDescent="0.2">
      <c r="B290" s="86"/>
      <c r="C290" s="89"/>
      <c r="D290" s="79"/>
      <c r="E290" s="79"/>
      <c r="F290" s="79"/>
      <c r="G290" s="81"/>
      <c r="H290" s="83"/>
      <c r="I290" s="15"/>
      <c r="J290" s="15"/>
      <c r="K290" s="102"/>
      <c r="L290" s="43">
        <v>137567.88</v>
      </c>
      <c r="M290" s="14" t="s">
        <v>160</v>
      </c>
      <c r="N290" s="19" t="s">
        <v>650</v>
      </c>
      <c r="O290" s="14" t="s">
        <v>651</v>
      </c>
      <c r="P290" s="14">
        <v>12</v>
      </c>
      <c r="Q290" s="14">
        <v>1</v>
      </c>
      <c r="R290" s="14">
        <v>1</v>
      </c>
      <c r="S290" s="14">
        <v>1</v>
      </c>
      <c r="T290" s="14">
        <v>1</v>
      </c>
      <c r="U290" s="14">
        <v>1</v>
      </c>
      <c r="V290" s="14">
        <v>1</v>
      </c>
      <c r="W290" s="14">
        <v>1</v>
      </c>
      <c r="X290" s="14">
        <v>1</v>
      </c>
      <c r="Y290" s="14">
        <v>1</v>
      </c>
      <c r="Z290" s="14">
        <v>1</v>
      </c>
      <c r="AA290" s="14">
        <v>1</v>
      </c>
      <c r="AB290" s="18">
        <v>1</v>
      </c>
    </row>
    <row r="291" spans="2:28" ht="25.5" x14ac:dyDescent="0.2">
      <c r="B291" s="86"/>
      <c r="C291" s="89"/>
      <c r="D291" s="79"/>
      <c r="E291" s="79"/>
      <c r="F291" s="79"/>
      <c r="G291" s="81"/>
      <c r="H291" s="83"/>
      <c r="I291" s="15"/>
      <c r="J291" s="15"/>
      <c r="K291" s="102"/>
      <c r="L291" s="43">
        <v>137567.88</v>
      </c>
      <c r="M291" s="14" t="s">
        <v>163</v>
      </c>
      <c r="N291" s="19" t="s">
        <v>652</v>
      </c>
      <c r="O291" s="14" t="s">
        <v>653</v>
      </c>
      <c r="P291" s="14">
        <v>11</v>
      </c>
      <c r="Q291" s="14">
        <v>1</v>
      </c>
      <c r="R291" s="14">
        <v>1</v>
      </c>
      <c r="S291" s="14">
        <v>1</v>
      </c>
      <c r="T291" s="14">
        <v>1</v>
      </c>
      <c r="U291" s="14">
        <v>1</v>
      </c>
      <c r="V291" s="14">
        <v>1</v>
      </c>
      <c r="W291" s="14">
        <v>1</v>
      </c>
      <c r="X291" s="14">
        <v>1</v>
      </c>
      <c r="Y291" s="14">
        <v>1</v>
      </c>
      <c r="Z291" s="14">
        <v>1</v>
      </c>
      <c r="AA291" s="14">
        <v>1</v>
      </c>
      <c r="AB291" s="18"/>
    </row>
    <row r="292" spans="2:28" ht="25.5" x14ac:dyDescent="0.2">
      <c r="B292" s="86"/>
      <c r="C292" s="89"/>
      <c r="D292" s="79"/>
      <c r="E292" s="79"/>
      <c r="F292" s="79"/>
      <c r="G292" s="81"/>
      <c r="H292" s="83"/>
      <c r="I292" s="15"/>
      <c r="J292" s="15"/>
      <c r="K292" s="102"/>
      <c r="L292" s="43">
        <v>137567.88</v>
      </c>
      <c r="M292" s="14" t="s">
        <v>214</v>
      </c>
      <c r="N292" s="19" t="s">
        <v>654</v>
      </c>
      <c r="O292" s="13" t="s">
        <v>655</v>
      </c>
      <c r="P292" s="14">
        <v>12</v>
      </c>
      <c r="Q292" s="14">
        <v>1</v>
      </c>
      <c r="R292" s="14">
        <v>1</v>
      </c>
      <c r="S292" s="14">
        <v>1</v>
      </c>
      <c r="T292" s="14">
        <v>1</v>
      </c>
      <c r="U292" s="14">
        <v>1</v>
      </c>
      <c r="V292" s="14">
        <v>1</v>
      </c>
      <c r="W292" s="14">
        <v>1</v>
      </c>
      <c r="X292" s="14">
        <v>1</v>
      </c>
      <c r="Y292" s="14">
        <v>1</v>
      </c>
      <c r="Z292" s="14">
        <v>1</v>
      </c>
      <c r="AA292" s="14">
        <v>1</v>
      </c>
      <c r="AB292" s="18">
        <v>1</v>
      </c>
    </row>
    <row r="293" spans="2:28" ht="25.5" x14ac:dyDescent="0.2">
      <c r="B293" s="86"/>
      <c r="C293" s="89"/>
      <c r="D293" s="79"/>
      <c r="E293" s="79"/>
      <c r="F293" s="79"/>
      <c r="G293" s="81"/>
      <c r="H293" s="83"/>
      <c r="I293" s="15"/>
      <c r="J293" s="15"/>
      <c r="K293" s="102"/>
      <c r="L293" s="43">
        <v>137567.88</v>
      </c>
      <c r="M293" s="14" t="s">
        <v>169</v>
      </c>
      <c r="N293" s="19" t="s">
        <v>656</v>
      </c>
      <c r="O293" s="14" t="s">
        <v>657</v>
      </c>
      <c r="P293" s="14">
        <v>48</v>
      </c>
      <c r="Q293" s="14">
        <v>4</v>
      </c>
      <c r="R293" s="14">
        <v>4</v>
      </c>
      <c r="S293" s="14">
        <v>4</v>
      </c>
      <c r="T293" s="14">
        <v>4</v>
      </c>
      <c r="U293" s="14">
        <v>4</v>
      </c>
      <c r="V293" s="14">
        <v>4</v>
      </c>
      <c r="W293" s="14">
        <v>4</v>
      </c>
      <c r="X293" s="14">
        <v>4</v>
      </c>
      <c r="Y293" s="14">
        <v>4</v>
      </c>
      <c r="Z293" s="14">
        <v>4</v>
      </c>
      <c r="AA293" s="14">
        <v>4</v>
      </c>
      <c r="AB293" s="18">
        <v>4</v>
      </c>
    </row>
    <row r="294" spans="2:28" ht="25.5" x14ac:dyDescent="0.2">
      <c r="B294" s="86"/>
      <c r="C294" s="89"/>
      <c r="D294" s="79"/>
      <c r="E294" s="79"/>
      <c r="F294" s="79"/>
      <c r="G294" s="81"/>
      <c r="H294" s="83"/>
      <c r="I294" s="15"/>
      <c r="J294" s="15"/>
      <c r="K294" s="102"/>
      <c r="L294" s="43">
        <v>137567.88</v>
      </c>
      <c r="M294" s="14" t="s">
        <v>172</v>
      </c>
      <c r="N294" s="19" t="s">
        <v>658</v>
      </c>
      <c r="O294" s="14" t="s">
        <v>642</v>
      </c>
      <c r="P294" s="14">
        <v>12</v>
      </c>
      <c r="Q294" s="14">
        <v>1</v>
      </c>
      <c r="R294" s="14">
        <v>1</v>
      </c>
      <c r="S294" s="14">
        <v>1</v>
      </c>
      <c r="T294" s="14">
        <v>1</v>
      </c>
      <c r="U294" s="14">
        <v>1</v>
      </c>
      <c r="V294" s="14">
        <v>1</v>
      </c>
      <c r="W294" s="14">
        <v>1</v>
      </c>
      <c r="X294" s="14">
        <v>1</v>
      </c>
      <c r="Y294" s="14">
        <v>1</v>
      </c>
      <c r="Z294" s="14">
        <v>1</v>
      </c>
      <c r="AA294" s="14">
        <v>1</v>
      </c>
      <c r="AB294" s="18">
        <v>1</v>
      </c>
    </row>
    <row r="295" spans="2:28" ht="25.5" x14ac:dyDescent="0.2">
      <c r="B295" s="86"/>
      <c r="C295" s="89"/>
      <c r="D295" s="79"/>
      <c r="E295" s="79"/>
      <c r="F295" s="79"/>
      <c r="G295" s="81"/>
      <c r="H295" s="83"/>
      <c r="I295" s="15"/>
      <c r="J295" s="15"/>
      <c r="K295" s="102"/>
      <c r="L295" s="43">
        <v>137567.88</v>
      </c>
      <c r="M295" s="14" t="s">
        <v>498</v>
      </c>
      <c r="N295" s="19" t="s">
        <v>659</v>
      </c>
      <c r="O295" s="14" t="s">
        <v>642</v>
      </c>
      <c r="P295" s="14">
        <v>12</v>
      </c>
      <c r="Q295" s="14">
        <v>1</v>
      </c>
      <c r="R295" s="14">
        <v>1</v>
      </c>
      <c r="S295" s="14">
        <v>1</v>
      </c>
      <c r="T295" s="14">
        <v>1</v>
      </c>
      <c r="U295" s="14">
        <v>1</v>
      </c>
      <c r="V295" s="14">
        <v>1</v>
      </c>
      <c r="W295" s="14">
        <v>1</v>
      </c>
      <c r="X295" s="14">
        <v>1</v>
      </c>
      <c r="Y295" s="14">
        <v>1</v>
      </c>
      <c r="Z295" s="14">
        <v>1</v>
      </c>
      <c r="AA295" s="14">
        <v>1</v>
      </c>
      <c r="AB295" s="18">
        <v>1</v>
      </c>
    </row>
    <row r="296" spans="2:28" ht="25.5" x14ac:dyDescent="0.2">
      <c r="B296" s="86"/>
      <c r="C296" s="89"/>
      <c r="D296" s="79"/>
      <c r="E296" s="79"/>
      <c r="F296" s="79"/>
      <c r="G296" s="81"/>
      <c r="H296" s="83"/>
      <c r="I296" s="15"/>
      <c r="J296" s="15"/>
      <c r="K296" s="101"/>
      <c r="L296" s="43">
        <v>137567.88</v>
      </c>
      <c r="M296" s="14" t="s">
        <v>501</v>
      </c>
      <c r="N296" s="19" t="s">
        <v>660</v>
      </c>
      <c r="O296" s="14" t="s">
        <v>661</v>
      </c>
      <c r="P296" s="14">
        <v>9</v>
      </c>
      <c r="Q296" s="14">
        <v>1</v>
      </c>
      <c r="R296" s="14"/>
      <c r="S296" s="14">
        <v>1</v>
      </c>
      <c r="T296" s="14">
        <v>1</v>
      </c>
      <c r="U296" s="14">
        <v>1</v>
      </c>
      <c r="V296" s="14"/>
      <c r="W296" s="14">
        <v>1</v>
      </c>
      <c r="X296" s="14">
        <v>1</v>
      </c>
      <c r="Y296" s="14"/>
      <c r="Z296" s="14">
        <v>1</v>
      </c>
      <c r="AA296" s="14">
        <v>1</v>
      </c>
      <c r="AB296" s="18">
        <v>1</v>
      </c>
    </row>
    <row r="297" spans="2:28" ht="36" customHeight="1" x14ac:dyDescent="0.2">
      <c r="B297" s="86"/>
      <c r="C297" s="89"/>
      <c r="D297" s="79"/>
      <c r="E297" s="79"/>
      <c r="F297" s="79"/>
      <c r="G297" s="81" t="s">
        <v>54</v>
      </c>
      <c r="H297" s="83" t="s">
        <v>662</v>
      </c>
      <c r="I297" s="15"/>
      <c r="J297" s="15"/>
      <c r="K297" s="100">
        <f>SUM(L297:L301)</f>
        <v>687839.4</v>
      </c>
      <c r="L297" s="43">
        <v>137567.88</v>
      </c>
      <c r="M297" s="14" t="s">
        <v>176</v>
      </c>
      <c r="N297" s="19" t="s">
        <v>663</v>
      </c>
      <c r="O297" s="14" t="s">
        <v>664</v>
      </c>
      <c r="P297" s="14">
        <v>12</v>
      </c>
      <c r="Q297" s="14">
        <v>1</v>
      </c>
      <c r="R297" s="14">
        <v>1</v>
      </c>
      <c r="S297" s="14">
        <v>1</v>
      </c>
      <c r="T297" s="14">
        <v>1</v>
      </c>
      <c r="U297" s="14">
        <v>1</v>
      </c>
      <c r="V297" s="14">
        <v>1</v>
      </c>
      <c r="W297" s="14">
        <v>1</v>
      </c>
      <c r="X297" s="14">
        <v>1</v>
      </c>
      <c r="Y297" s="14">
        <v>1</v>
      </c>
      <c r="Z297" s="14">
        <v>1</v>
      </c>
      <c r="AA297" s="14">
        <v>1</v>
      </c>
      <c r="AB297" s="18">
        <v>1</v>
      </c>
    </row>
    <row r="298" spans="2:28" ht="25.5" x14ac:dyDescent="0.2">
      <c r="B298" s="86"/>
      <c r="C298" s="89"/>
      <c r="D298" s="79"/>
      <c r="E298" s="79"/>
      <c r="F298" s="79"/>
      <c r="G298" s="81"/>
      <c r="H298" s="83"/>
      <c r="I298" s="15"/>
      <c r="J298" s="15"/>
      <c r="K298" s="102"/>
      <c r="L298" s="43">
        <v>137567.88</v>
      </c>
      <c r="M298" s="14" t="s">
        <v>177</v>
      </c>
      <c r="N298" s="19" t="s">
        <v>665</v>
      </c>
      <c r="O298" s="13" t="s">
        <v>666</v>
      </c>
      <c r="P298" s="14">
        <v>3</v>
      </c>
      <c r="Q298" s="14"/>
      <c r="R298" s="14"/>
      <c r="S298" s="14"/>
      <c r="T298" s="14">
        <v>1</v>
      </c>
      <c r="U298" s="14"/>
      <c r="V298" s="14"/>
      <c r="W298" s="14"/>
      <c r="X298" s="14">
        <v>1</v>
      </c>
      <c r="Y298" s="14"/>
      <c r="Z298" s="14"/>
      <c r="AA298" s="14"/>
      <c r="AB298" s="18">
        <v>1</v>
      </c>
    </row>
    <row r="299" spans="2:28" ht="38.25" x14ac:dyDescent="0.2">
      <c r="B299" s="86"/>
      <c r="C299" s="89"/>
      <c r="D299" s="79"/>
      <c r="E299" s="79"/>
      <c r="F299" s="79"/>
      <c r="G299" s="81"/>
      <c r="H299" s="83"/>
      <c r="I299" s="15"/>
      <c r="J299" s="15"/>
      <c r="K299" s="102"/>
      <c r="L299" s="43">
        <v>137567.88</v>
      </c>
      <c r="M299" s="14" t="s">
        <v>180</v>
      </c>
      <c r="N299" s="19" t="s">
        <v>667</v>
      </c>
      <c r="O299" s="13" t="s">
        <v>668</v>
      </c>
      <c r="P299" s="14">
        <v>192</v>
      </c>
      <c r="Q299" s="14">
        <v>16</v>
      </c>
      <c r="R299" s="14">
        <v>16</v>
      </c>
      <c r="S299" s="14">
        <v>16</v>
      </c>
      <c r="T299" s="14">
        <v>16</v>
      </c>
      <c r="U299" s="14">
        <v>16</v>
      </c>
      <c r="V299" s="14">
        <v>16</v>
      </c>
      <c r="W299" s="14">
        <v>16</v>
      </c>
      <c r="X299" s="14">
        <v>16</v>
      </c>
      <c r="Y299" s="14">
        <v>16</v>
      </c>
      <c r="Z299" s="14">
        <v>16</v>
      </c>
      <c r="AA299" s="14">
        <v>16</v>
      </c>
      <c r="AB299" s="18">
        <v>16</v>
      </c>
    </row>
    <row r="300" spans="2:28" ht="25.5" x14ac:dyDescent="0.2">
      <c r="B300" s="86"/>
      <c r="C300" s="89"/>
      <c r="D300" s="79"/>
      <c r="E300" s="79"/>
      <c r="F300" s="79"/>
      <c r="G300" s="81"/>
      <c r="H300" s="83"/>
      <c r="I300" s="15"/>
      <c r="J300" s="15"/>
      <c r="K300" s="102"/>
      <c r="L300" s="43">
        <v>137567.88</v>
      </c>
      <c r="M300" s="14" t="s">
        <v>183</v>
      </c>
      <c r="N300" s="19" t="s">
        <v>669</v>
      </c>
      <c r="O300" s="14" t="s">
        <v>642</v>
      </c>
      <c r="P300" s="14">
        <v>12</v>
      </c>
      <c r="Q300" s="14">
        <v>1</v>
      </c>
      <c r="R300" s="14">
        <v>1</v>
      </c>
      <c r="S300" s="14">
        <v>1</v>
      </c>
      <c r="T300" s="14">
        <v>1</v>
      </c>
      <c r="U300" s="14">
        <v>1</v>
      </c>
      <c r="V300" s="14">
        <v>1</v>
      </c>
      <c r="W300" s="14">
        <v>1</v>
      </c>
      <c r="X300" s="14">
        <v>1</v>
      </c>
      <c r="Y300" s="14">
        <v>1</v>
      </c>
      <c r="Z300" s="14">
        <v>1</v>
      </c>
      <c r="AA300" s="14">
        <v>1</v>
      </c>
      <c r="AB300" s="18">
        <v>1</v>
      </c>
    </row>
    <row r="301" spans="2:28" ht="46.9" customHeight="1" thickBot="1" x14ac:dyDescent="0.25">
      <c r="B301" s="87"/>
      <c r="C301" s="90"/>
      <c r="D301" s="80"/>
      <c r="E301" s="80"/>
      <c r="F301" s="80"/>
      <c r="G301" s="82"/>
      <c r="H301" s="84"/>
      <c r="I301" s="24"/>
      <c r="J301" s="24"/>
      <c r="K301" s="103"/>
      <c r="L301" s="44">
        <v>137567.88</v>
      </c>
      <c r="M301" s="23" t="s">
        <v>186</v>
      </c>
      <c r="N301" s="25" t="s">
        <v>670</v>
      </c>
      <c r="O301" s="22" t="s">
        <v>671</v>
      </c>
      <c r="P301" s="23">
        <v>12</v>
      </c>
      <c r="Q301" s="23">
        <v>1</v>
      </c>
      <c r="R301" s="23">
        <v>1</v>
      </c>
      <c r="S301" s="23">
        <v>1</v>
      </c>
      <c r="T301" s="23">
        <v>1</v>
      </c>
      <c r="U301" s="23">
        <v>1</v>
      </c>
      <c r="V301" s="23">
        <v>1</v>
      </c>
      <c r="W301" s="23">
        <v>1</v>
      </c>
      <c r="X301" s="23">
        <v>1</v>
      </c>
      <c r="Y301" s="23">
        <v>1</v>
      </c>
      <c r="Z301" s="23">
        <v>1</v>
      </c>
      <c r="AA301" s="23">
        <v>1</v>
      </c>
      <c r="AB301" s="26">
        <v>1</v>
      </c>
    </row>
    <row r="302" spans="2:28" ht="13.5" thickBot="1" x14ac:dyDescent="0.25">
      <c r="B302" s="30"/>
      <c r="C302" s="40"/>
      <c r="D302" s="40"/>
      <c r="E302" s="40"/>
      <c r="F302" s="40"/>
      <c r="G302" s="61"/>
      <c r="H302" s="40"/>
      <c r="I302" s="40"/>
      <c r="J302" s="40"/>
      <c r="K302" s="62">
        <f>SUM(K284:K301)</f>
        <v>10028321.060000001</v>
      </c>
      <c r="L302" s="33"/>
      <c r="M302" s="30"/>
      <c r="N302" s="63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 spans="2:28" ht="12.75" x14ac:dyDescent="0.2">
      <c r="B303" s="85" t="s">
        <v>672</v>
      </c>
      <c r="C303" s="88" t="s">
        <v>673</v>
      </c>
      <c r="D303" s="112">
        <f>SUM(K303:K351)</f>
        <v>215533391.61000001</v>
      </c>
      <c r="E303" s="91">
        <v>48</v>
      </c>
      <c r="F303" s="91" t="s">
        <v>805</v>
      </c>
      <c r="G303" s="92" t="s">
        <v>23</v>
      </c>
      <c r="H303" s="93" t="s">
        <v>674</v>
      </c>
      <c r="I303" s="9"/>
      <c r="J303" s="9"/>
      <c r="K303" s="111">
        <f>SUM(L303:L304)</f>
        <v>349475.53</v>
      </c>
      <c r="L303" s="42">
        <v>349475.53</v>
      </c>
      <c r="M303" s="8" t="s">
        <v>117</v>
      </c>
      <c r="N303" s="10" t="s">
        <v>25</v>
      </c>
      <c r="O303" s="8" t="s">
        <v>675</v>
      </c>
      <c r="P303" s="8">
        <v>25</v>
      </c>
      <c r="Q303" s="8">
        <v>2</v>
      </c>
      <c r="R303" s="8">
        <v>2</v>
      </c>
      <c r="S303" s="8">
        <v>2</v>
      </c>
      <c r="T303" s="8">
        <v>2</v>
      </c>
      <c r="U303" s="8">
        <v>2</v>
      </c>
      <c r="V303" s="8">
        <v>2</v>
      </c>
      <c r="W303" s="8">
        <v>2</v>
      </c>
      <c r="X303" s="8">
        <v>2</v>
      </c>
      <c r="Y303" s="8">
        <v>2</v>
      </c>
      <c r="Z303" s="8">
        <v>2</v>
      </c>
      <c r="AA303" s="8">
        <v>2</v>
      </c>
      <c r="AB303" s="11">
        <v>3</v>
      </c>
    </row>
    <row r="304" spans="2:28" ht="25.5" x14ac:dyDescent="0.2">
      <c r="B304" s="86"/>
      <c r="C304" s="89"/>
      <c r="D304" s="79"/>
      <c r="E304" s="79"/>
      <c r="F304" s="79"/>
      <c r="G304" s="81"/>
      <c r="H304" s="83"/>
      <c r="I304" s="15"/>
      <c r="J304" s="15"/>
      <c r="K304" s="101"/>
      <c r="L304" s="43"/>
      <c r="M304" s="14" t="s">
        <v>143</v>
      </c>
      <c r="N304" s="19" t="s">
        <v>676</v>
      </c>
      <c r="O304" s="13" t="s">
        <v>677</v>
      </c>
      <c r="P304" s="14">
        <v>4</v>
      </c>
      <c r="Q304" s="14"/>
      <c r="R304" s="14"/>
      <c r="S304" s="14">
        <v>1</v>
      </c>
      <c r="T304" s="14"/>
      <c r="U304" s="14"/>
      <c r="V304" s="14">
        <v>1</v>
      </c>
      <c r="W304" s="14"/>
      <c r="X304" s="14"/>
      <c r="Y304" s="14">
        <v>1</v>
      </c>
      <c r="Z304" s="14"/>
      <c r="AA304" s="14"/>
      <c r="AB304" s="18">
        <v>1</v>
      </c>
    </row>
    <row r="305" spans="2:28" ht="12.75" x14ac:dyDescent="0.2">
      <c r="B305" s="86"/>
      <c r="C305" s="89"/>
      <c r="D305" s="79"/>
      <c r="E305" s="79">
        <v>61</v>
      </c>
      <c r="F305" s="79" t="s">
        <v>806</v>
      </c>
      <c r="G305" s="81" t="s">
        <v>48</v>
      </c>
      <c r="H305" s="83" t="s">
        <v>678</v>
      </c>
      <c r="I305" s="15"/>
      <c r="J305" s="15"/>
      <c r="K305" s="100">
        <f>SUM(L305:L313)</f>
        <v>155111269.78</v>
      </c>
      <c r="L305" s="43">
        <v>6068669.4299999997</v>
      </c>
      <c r="M305" s="14" t="s">
        <v>159</v>
      </c>
      <c r="N305" s="19" t="s">
        <v>25</v>
      </c>
      <c r="O305" s="14" t="s">
        <v>675</v>
      </c>
      <c r="P305" s="14">
        <v>25</v>
      </c>
      <c r="Q305" s="14">
        <v>2</v>
      </c>
      <c r="R305" s="14">
        <v>2</v>
      </c>
      <c r="S305" s="14">
        <v>2</v>
      </c>
      <c r="T305" s="14">
        <v>2</v>
      </c>
      <c r="U305" s="14">
        <v>2</v>
      </c>
      <c r="V305" s="14">
        <v>2</v>
      </c>
      <c r="W305" s="14">
        <v>2</v>
      </c>
      <c r="X305" s="14">
        <v>2</v>
      </c>
      <c r="Y305" s="14">
        <v>2</v>
      </c>
      <c r="Z305" s="14">
        <v>2</v>
      </c>
      <c r="AA305" s="14">
        <v>2</v>
      </c>
      <c r="AB305" s="18">
        <v>3</v>
      </c>
    </row>
    <row r="306" spans="2:28" ht="127.5" x14ac:dyDescent="0.2">
      <c r="B306" s="86"/>
      <c r="C306" s="89"/>
      <c r="D306" s="79"/>
      <c r="E306" s="79"/>
      <c r="F306" s="79"/>
      <c r="G306" s="81"/>
      <c r="H306" s="83"/>
      <c r="I306" s="15"/>
      <c r="J306" s="15"/>
      <c r="K306" s="102"/>
      <c r="L306" s="43">
        <v>188615.88</v>
      </c>
      <c r="M306" s="14" t="s">
        <v>160</v>
      </c>
      <c r="N306" s="19" t="s">
        <v>679</v>
      </c>
      <c r="O306" s="13" t="s">
        <v>680</v>
      </c>
      <c r="P306" s="37">
        <v>110</v>
      </c>
      <c r="Q306" s="14">
        <v>5</v>
      </c>
      <c r="R306" s="14">
        <v>5</v>
      </c>
      <c r="S306" s="14">
        <v>15</v>
      </c>
      <c r="T306" s="14">
        <v>15</v>
      </c>
      <c r="U306" s="14">
        <v>20</v>
      </c>
      <c r="V306" s="14">
        <v>20</v>
      </c>
      <c r="W306" s="14">
        <v>10</v>
      </c>
      <c r="X306" s="14">
        <v>10</v>
      </c>
      <c r="Y306" s="14">
        <v>10</v>
      </c>
      <c r="Z306" s="14"/>
      <c r="AA306" s="14"/>
      <c r="AB306" s="18"/>
    </row>
    <row r="307" spans="2:28" ht="114.75" x14ac:dyDescent="0.2">
      <c r="B307" s="86"/>
      <c r="C307" s="89"/>
      <c r="D307" s="79"/>
      <c r="E307" s="79"/>
      <c r="F307" s="79"/>
      <c r="G307" s="81"/>
      <c r="H307" s="83"/>
      <c r="I307" s="15"/>
      <c r="J307" s="15"/>
      <c r="K307" s="102"/>
      <c r="L307" s="43">
        <v>113469953.88</v>
      </c>
      <c r="M307" s="14" t="s">
        <v>163</v>
      </c>
      <c r="N307" s="19" t="s">
        <v>681</v>
      </c>
      <c r="O307" s="13" t="s">
        <v>682</v>
      </c>
      <c r="P307" s="37">
        <v>140</v>
      </c>
      <c r="Q307" s="14">
        <v>7</v>
      </c>
      <c r="R307" s="14">
        <v>3</v>
      </c>
      <c r="S307" s="14">
        <v>10</v>
      </c>
      <c r="T307" s="14">
        <v>15</v>
      </c>
      <c r="U307" s="14">
        <v>15</v>
      </c>
      <c r="V307" s="14">
        <v>20</v>
      </c>
      <c r="W307" s="14">
        <v>20</v>
      </c>
      <c r="X307" s="14">
        <v>20</v>
      </c>
      <c r="Y307" s="14">
        <v>20</v>
      </c>
      <c r="Z307" s="14">
        <v>10</v>
      </c>
      <c r="AA307" s="14"/>
      <c r="AB307" s="18"/>
    </row>
    <row r="308" spans="2:28" ht="25.5" x14ac:dyDescent="0.2">
      <c r="B308" s="86"/>
      <c r="C308" s="89"/>
      <c r="D308" s="79"/>
      <c r="E308" s="79"/>
      <c r="F308" s="79"/>
      <c r="G308" s="81"/>
      <c r="H308" s="83"/>
      <c r="I308" s="15"/>
      <c r="J308" s="15"/>
      <c r="K308" s="102"/>
      <c r="L308" s="43">
        <v>32911409.109999999</v>
      </c>
      <c r="M308" s="14" t="s">
        <v>214</v>
      </c>
      <c r="N308" s="19" t="s">
        <v>683</v>
      </c>
      <c r="O308" s="13" t="s">
        <v>684</v>
      </c>
      <c r="P308" s="37">
        <v>52</v>
      </c>
      <c r="Q308" s="14">
        <v>7</v>
      </c>
      <c r="R308" s="14">
        <v>2</v>
      </c>
      <c r="S308" s="14">
        <v>2</v>
      </c>
      <c r="T308" s="14">
        <v>7</v>
      </c>
      <c r="U308" s="14">
        <v>3</v>
      </c>
      <c r="V308" s="14">
        <v>2</v>
      </c>
      <c r="W308" s="14">
        <v>9</v>
      </c>
      <c r="X308" s="14">
        <v>2</v>
      </c>
      <c r="Y308" s="14">
        <v>4</v>
      </c>
      <c r="Z308" s="14">
        <v>2</v>
      </c>
      <c r="AA308" s="14">
        <v>9</v>
      </c>
      <c r="AB308" s="18">
        <v>3</v>
      </c>
    </row>
    <row r="309" spans="2:28" ht="25.5" x14ac:dyDescent="0.2">
      <c r="B309" s="86"/>
      <c r="C309" s="89"/>
      <c r="D309" s="79"/>
      <c r="E309" s="79"/>
      <c r="F309" s="79"/>
      <c r="G309" s="81"/>
      <c r="H309" s="83"/>
      <c r="I309" s="15"/>
      <c r="J309" s="15"/>
      <c r="K309" s="102"/>
      <c r="L309" s="43">
        <v>1718157.96</v>
      </c>
      <c r="M309" s="14" t="s">
        <v>169</v>
      </c>
      <c r="N309" s="19" t="s">
        <v>685</v>
      </c>
      <c r="O309" s="14" t="s">
        <v>686</v>
      </c>
      <c r="P309" s="37">
        <v>1</v>
      </c>
      <c r="Q309" s="14"/>
      <c r="R309" s="14"/>
      <c r="S309" s="14"/>
      <c r="T309" s="14"/>
      <c r="U309" s="14"/>
      <c r="V309" s="14"/>
      <c r="W309" s="14">
        <v>1</v>
      </c>
      <c r="X309" s="14"/>
      <c r="Y309" s="14"/>
      <c r="Z309" s="14"/>
      <c r="AA309" s="14"/>
      <c r="AB309" s="18"/>
    </row>
    <row r="310" spans="2:28" ht="25.5" x14ac:dyDescent="0.2">
      <c r="B310" s="86"/>
      <c r="C310" s="89"/>
      <c r="D310" s="79"/>
      <c r="E310" s="79"/>
      <c r="F310" s="79"/>
      <c r="G310" s="81"/>
      <c r="H310" s="83"/>
      <c r="I310" s="15"/>
      <c r="J310" s="15"/>
      <c r="K310" s="102"/>
      <c r="L310" s="43">
        <v>188615.88</v>
      </c>
      <c r="M310" s="14" t="s">
        <v>172</v>
      </c>
      <c r="N310" s="19" t="s">
        <v>687</v>
      </c>
      <c r="O310" s="14" t="s">
        <v>688</v>
      </c>
      <c r="P310" s="37">
        <v>2640</v>
      </c>
      <c r="Q310" s="14">
        <v>220</v>
      </c>
      <c r="R310" s="14">
        <v>220</v>
      </c>
      <c r="S310" s="14">
        <v>220</v>
      </c>
      <c r="T310" s="14">
        <v>220</v>
      </c>
      <c r="U310" s="14">
        <v>220</v>
      </c>
      <c r="V310" s="14">
        <v>220</v>
      </c>
      <c r="W310" s="14">
        <v>220</v>
      </c>
      <c r="X310" s="14">
        <v>220</v>
      </c>
      <c r="Y310" s="14">
        <v>220</v>
      </c>
      <c r="Z310" s="14">
        <v>220</v>
      </c>
      <c r="AA310" s="14">
        <v>220</v>
      </c>
      <c r="AB310" s="18">
        <v>220</v>
      </c>
    </row>
    <row r="311" spans="2:28" ht="38.25" x14ac:dyDescent="0.2">
      <c r="B311" s="86"/>
      <c r="C311" s="89"/>
      <c r="D311" s="79"/>
      <c r="E311" s="79"/>
      <c r="F311" s="79"/>
      <c r="G311" s="81"/>
      <c r="H311" s="83"/>
      <c r="I311" s="15"/>
      <c r="J311" s="15"/>
      <c r="K311" s="102"/>
      <c r="L311" s="43">
        <v>188615.88</v>
      </c>
      <c r="M311" s="14" t="s">
        <v>498</v>
      </c>
      <c r="N311" s="19" t="s">
        <v>689</v>
      </c>
      <c r="O311" s="14" t="s">
        <v>690</v>
      </c>
      <c r="P311" s="37">
        <v>1</v>
      </c>
      <c r="Q311" s="14"/>
      <c r="R311" s="14"/>
      <c r="S311" s="14"/>
      <c r="T311" s="14">
        <v>1</v>
      </c>
      <c r="U311" s="14"/>
      <c r="V311" s="14"/>
      <c r="W311" s="14"/>
      <c r="X311" s="14"/>
      <c r="Y311" s="14"/>
      <c r="Z311" s="14"/>
      <c r="AA311" s="14"/>
      <c r="AB311" s="18"/>
    </row>
    <row r="312" spans="2:28" ht="25.5" x14ac:dyDescent="0.2">
      <c r="B312" s="86"/>
      <c r="C312" s="89"/>
      <c r="D312" s="79"/>
      <c r="E312" s="79"/>
      <c r="F312" s="79"/>
      <c r="G312" s="81"/>
      <c r="H312" s="83"/>
      <c r="I312" s="15"/>
      <c r="J312" s="15"/>
      <c r="K312" s="102"/>
      <c r="L312" s="43">
        <v>188615.88</v>
      </c>
      <c r="M312" s="14" t="s">
        <v>501</v>
      </c>
      <c r="N312" s="19" t="s">
        <v>691</v>
      </c>
      <c r="O312" s="14" t="s">
        <v>692</v>
      </c>
      <c r="P312" s="37">
        <v>38</v>
      </c>
      <c r="Q312" s="14"/>
      <c r="R312" s="14"/>
      <c r="S312" s="14">
        <v>6</v>
      </c>
      <c r="T312" s="14">
        <v>10</v>
      </c>
      <c r="U312" s="14">
        <v>8</v>
      </c>
      <c r="V312" s="14">
        <v>8</v>
      </c>
      <c r="W312" s="14">
        <v>6</v>
      </c>
      <c r="X312" s="14"/>
      <c r="Y312" s="14"/>
      <c r="Z312" s="14"/>
      <c r="AA312" s="14"/>
      <c r="AB312" s="18"/>
    </row>
    <row r="313" spans="2:28" ht="38.25" x14ac:dyDescent="0.2">
      <c r="B313" s="86"/>
      <c r="C313" s="89"/>
      <c r="D313" s="79"/>
      <c r="E313" s="79"/>
      <c r="F313" s="79"/>
      <c r="G313" s="81"/>
      <c r="H313" s="83"/>
      <c r="I313" s="15"/>
      <c r="J313" s="15"/>
      <c r="K313" s="101"/>
      <c r="L313" s="43">
        <v>188615.88</v>
      </c>
      <c r="M313" s="14" t="s">
        <v>504</v>
      </c>
      <c r="N313" s="19" t="s">
        <v>693</v>
      </c>
      <c r="O313" s="14" t="s">
        <v>694</v>
      </c>
      <c r="P313" s="37">
        <v>1</v>
      </c>
      <c r="Q313" s="14"/>
      <c r="R313" s="14"/>
      <c r="S313" s="14"/>
      <c r="T313" s="14">
        <v>1</v>
      </c>
      <c r="U313" s="14"/>
      <c r="V313" s="14"/>
      <c r="W313" s="14"/>
      <c r="X313" s="14"/>
      <c r="Y313" s="14"/>
      <c r="Z313" s="14"/>
      <c r="AA313" s="14"/>
      <c r="AB313" s="18"/>
    </row>
    <row r="314" spans="2:28" ht="23.45" customHeight="1" x14ac:dyDescent="0.2">
      <c r="B314" s="86"/>
      <c r="C314" s="89"/>
      <c r="D314" s="79"/>
      <c r="E314" s="79">
        <v>62</v>
      </c>
      <c r="F314" s="79" t="s">
        <v>807</v>
      </c>
      <c r="G314" s="81" t="s">
        <v>54</v>
      </c>
      <c r="H314" s="83" t="s">
        <v>695</v>
      </c>
      <c r="I314" s="15"/>
      <c r="J314" s="15"/>
      <c r="K314" s="100">
        <f>SUM(L314:L315)</f>
        <v>1017728.98</v>
      </c>
      <c r="L314" s="43">
        <v>581405.81999999995</v>
      </c>
      <c r="M314" s="14" t="s">
        <v>176</v>
      </c>
      <c r="N314" s="19" t="s">
        <v>25</v>
      </c>
      <c r="O314" s="14" t="s">
        <v>675</v>
      </c>
      <c r="P314" s="37">
        <v>25</v>
      </c>
      <c r="Q314" s="14">
        <v>2</v>
      </c>
      <c r="R314" s="14">
        <v>2</v>
      </c>
      <c r="S314" s="14">
        <v>2</v>
      </c>
      <c r="T314" s="14">
        <v>2</v>
      </c>
      <c r="U314" s="14">
        <v>2</v>
      </c>
      <c r="V314" s="14">
        <v>2</v>
      </c>
      <c r="W314" s="14">
        <v>2</v>
      </c>
      <c r="X314" s="14">
        <v>2</v>
      </c>
      <c r="Y314" s="14">
        <v>2</v>
      </c>
      <c r="Z314" s="14">
        <v>2</v>
      </c>
      <c r="AA314" s="14">
        <v>2</v>
      </c>
      <c r="AB314" s="18">
        <v>3</v>
      </c>
    </row>
    <row r="315" spans="2:28" ht="51" x14ac:dyDescent="0.2">
      <c r="B315" s="86"/>
      <c r="C315" s="89"/>
      <c r="D315" s="79"/>
      <c r="E315" s="79"/>
      <c r="F315" s="79"/>
      <c r="G315" s="81"/>
      <c r="H315" s="83"/>
      <c r="I315" s="15"/>
      <c r="J315" s="15"/>
      <c r="K315" s="101"/>
      <c r="L315" s="43">
        <v>436323.16</v>
      </c>
      <c r="M315" s="14" t="s">
        <v>177</v>
      </c>
      <c r="N315" s="19" t="s">
        <v>696</v>
      </c>
      <c r="O315" s="14" t="s">
        <v>697</v>
      </c>
      <c r="P315" s="37">
        <v>5</v>
      </c>
      <c r="Q315" s="14">
        <v>1</v>
      </c>
      <c r="R315" s="14">
        <v>2</v>
      </c>
      <c r="S315" s="14"/>
      <c r="T315" s="14"/>
      <c r="U315" s="14">
        <v>1</v>
      </c>
      <c r="V315" s="14"/>
      <c r="W315" s="14">
        <v>1</v>
      </c>
      <c r="X315" s="14"/>
      <c r="Y315" s="14"/>
      <c r="Z315" s="14"/>
      <c r="AA315" s="14"/>
      <c r="AB315" s="18"/>
    </row>
    <row r="316" spans="2:28" ht="12.75" x14ac:dyDescent="0.2">
      <c r="B316" s="86"/>
      <c r="C316" s="89"/>
      <c r="D316" s="79"/>
      <c r="E316" s="79">
        <v>73</v>
      </c>
      <c r="F316" s="79" t="s">
        <v>808</v>
      </c>
      <c r="G316" s="81" t="s">
        <v>63</v>
      </c>
      <c r="H316" s="83" t="s">
        <v>698</v>
      </c>
      <c r="I316" s="15"/>
      <c r="J316" s="15"/>
      <c r="K316" s="100">
        <f>SUM(L316:L320)</f>
        <v>615042.43999999994</v>
      </c>
      <c r="L316" s="43">
        <v>217392.47</v>
      </c>
      <c r="M316" s="14" t="s">
        <v>225</v>
      </c>
      <c r="N316" s="19" t="s">
        <v>25</v>
      </c>
      <c r="O316" s="14" t="s">
        <v>675</v>
      </c>
      <c r="P316" s="37">
        <v>25</v>
      </c>
      <c r="Q316" s="14">
        <v>2</v>
      </c>
      <c r="R316" s="14">
        <v>2</v>
      </c>
      <c r="S316" s="14">
        <v>2</v>
      </c>
      <c r="T316" s="14">
        <v>2</v>
      </c>
      <c r="U316" s="14">
        <v>2</v>
      </c>
      <c r="V316" s="14">
        <v>2</v>
      </c>
      <c r="W316" s="14">
        <v>2</v>
      </c>
      <c r="X316" s="14">
        <v>2</v>
      </c>
      <c r="Y316" s="14">
        <v>2</v>
      </c>
      <c r="Z316" s="14">
        <v>2</v>
      </c>
      <c r="AA316" s="14">
        <v>2</v>
      </c>
      <c r="AB316" s="18">
        <v>3</v>
      </c>
    </row>
    <row r="317" spans="2:28" ht="25.5" x14ac:dyDescent="0.2">
      <c r="B317" s="86"/>
      <c r="C317" s="89"/>
      <c r="D317" s="79"/>
      <c r="E317" s="79"/>
      <c r="F317" s="79"/>
      <c r="G317" s="81"/>
      <c r="H317" s="83"/>
      <c r="I317" s="15"/>
      <c r="J317" s="15"/>
      <c r="K317" s="102"/>
      <c r="L317" s="43">
        <v>99412.5</v>
      </c>
      <c r="M317" s="14" t="s">
        <v>226</v>
      </c>
      <c r="N317" s="19" t="s">
        <v>699</v>
      </c>
      <c r="O317" s="14" t="s">
        <v>700</v>
      </c>
      <c r="P317" s="37">
        <v>5000</v>
      </c>
      <c r="Q317" s="14"/>
      <c r="R317" s="14"/>
      <c r="S317" s="14"/>
      <c r="T317" s="14"/>
      <c r="U317" s="14"/>
      <c r="V317" s="14"/>
      <c r="W317" s="14"/>
      <c r="X317" s="14"/>
      <c r="Y317" s="14">
        <v>5000</v>
      </c>
      <c r="Z317" s="14"/>
      <c r="AA317" s="14"/>
      <c r="AB317" s="18"/>
    </row>
    <row r="318" spans="2:28" ht="38.25" x14ac:dyDescent="0.2">
      <c r="B318" s="86"/>
      <c r="C318" s="89"/>
      <c r="D318" s="79"/>
      <c r="E318" s="79"/>
      <c r="F318" s="79"/>
      <c r="G318" s="81"/>
      <c r="H318" s="83"/>
      <c r="I318" s="15"/>
      <c r="J318" s="15"/>
      <c r="K318" s="102"/>
      <c r="L318" s="43">
        <v>99412.47</v>
      </c>
      <c r="M318" s="14" t="s">
        <v>229</v>
      </c>
      <c r="N318" s="19" t="s">
        <v>701</v>
      </c>
      <c r="O318" s="14" t="s">
        <v>702</v>
      </c>
      <c r="P318" s="37">
        <v>3</v>
      </c>
      <c r="Q318" s="14"/>
      <c r="R318" s="14">
        <v>1</v>
      </c>
      <c r="S318" s="14">
        <v>1</v>
      </c>
      <c r="T318" s="14"/>
      <c r="U318" s="14">
        <v>1</v>
      </c>
      <c r="V318" s="14"/>
      <c r="W318" s="14"/>
      <c r="X318" s="14"/>
      <c r="Y318" s="14"/>
      <c r="Z318" s="14"/>
      <c r="AA318" s="14"/>
      <c r="AB318" s="18"/>
    </row>
    <row r="319" spans="2:28" ht="45" customHeight="1" x14ac:dyDescent="0.2">
      <c r="B319" s="86"/>
      <c r="C319" s="89"/>
      <c r="D319" s="79"/>
      <c r="E319" s="79"/>
      <c r="F319" s="79"/>
      <c r="G319" s="81"/>
      <c r="H319" s="83"/>
      <c r="I319" s="15"/>
      <c r="J319" s="15"/>
      <c r="K319" s="102"/>
      <c r="L319" s="43">
        <v>99412.5</v>
      </c>
      <c r="M319" s="14" t="s">
        <v>232</v>
      </c>
      <c r="N319" s="19" t="s">
        <v>824</v>
      </c>
      <c r="O319" s="14" t="s">
        <v>700</v>
      </c>
      <c r="P319" s="37">
        <v>20</v>
      </c>
      <c r="Q319" s="14"/>
      <c r="R319" s="14">
        <v>2</v>
      </c>
      <c r="S319" s="14">
        <v>2</v>
      </c>
      <c r="T319" s="14">
        <v>2</v>
      </c>
      <c r="U319" s="14">
        <v>2</v>
      </c>
      <c r="V319" s="14">
        <v>2</v>
      </c>
      <c r="W319" s="14">
        <v>2</v>
      </c>
      <c r="X319" s="14">
        <v>2</v>
      </c>
      <c r="Y319" s="14">
        <v>2</v>
      </c>
      <c r="Z319" s="14">
        <v>2</v>
      </c>
      <c r="AA319" s="14">
        <v>2</v>
      </c>
      <c r="AB319" s="18"/>
    </row>
    <row r="320" spans="2:28" ht="25.5" x14ac:dyDescent="0.2">
      <c r="B320" s="86"/>
      <c r="C320" s="89"/>
      <c r="D320" s="79"/>
      <c r="E320" s="79"/>
      <c r="F320" s="79"/>
      <c r="G320" s="81"/>
      <c r="H320" s="83"/>
      <c r="I320" s="15"/>
      <c r="J320" s="15"/>
      <c r="K320" s="101"/>
      <c r="L320" s="43">
        <v>99412.5</v>
      </c>
      <c r="M320" s="14" t="s">
        <v>235</v>
      </c>
      <c r="N320" s="19" t="s">
        <v>703</v>
      </c>
      <c r="O320" s="14" t="s">
        <v>704</v>
      </c>
      <c r="P320" s="37">
        <v>5</v>
      </c>
      <c r="Q320" s="14">
        <v>1</v>
      </c>
      <c r="R320" s="14"/>
      <c r="S320" s="14">
        <v>1</v>
      </c>
      <c r="T320" s="14"/>
      <c r="U320" s="14"/>
      <c r="V320" s="14">
        <v>1</v>
      </c>
      <c r="W320" s="14"/>
      <c r="X320" s="14"/>
      <c r="Y320" s="14"/>
      <c r="Z320" s="14"/>
      <c r="AA320" s="14">
        <v>2</v>
      </c>
      <c r="AB320" s="18"/>
    </row>
    <row r="321" spans="2:28" ht="12.75" x14ac:dyDescent="0.2">
      <c r="B321" s="86"/>
      <c r="C321" s="89"/>
      <c r="D321" s="79"/>
      <c r="E321" s="79">
        <v>71</v>
      </c>
      <c r="F321" s="79" t="s">
        <v>809</v>
      </c>
      <c r="G321" s="81" t="s">
        <v>241</v>
      </c>
      <c r="H321" s="83" t="s">
        <v>705</v>
      </c>
      <c r="I321" s="15"/>
      <c r="J321" s="15"/>
      <c r="K321" s="100">
        <f>SUM(L321:L327)</f>
        <v>664983.62</v>
      </c>
      <c r="L321" s="43">
        <v>314983.5</v>
      </c>
      <c r="M321" s="14" t="s">
        <v>243</v>
      </c>
      <c r="N321" s="19" t="s">
        <v>25</v>
      </c>
      <c r="O321" s="14" t="s">
        <v>675</v>
      </c>
      <c r="P321" s="37">
        <v>25</v>
      </c>
      <c r="Q321" s="14">
        <v>2</v>
      </c>
      <c r="R321" s="14">
        <v>2</v>
      </c>
      <c r="S321" s="14">
        <v>2</v>
      </c>
      <c r="T321" s="14">
        <v>2</v>
      </c>
      <c r="U321" s="14">
        <v>2</v>
      </c>
      <c r="V321" s="14">
        <v>2</v>
      </c>
      <c r="W321" s="14">
        <v>2</v>
      </c>
      <c r="X321" s="14">
        <v>2</v>
      </c>
      <c r="Y321" s="14">
        <v>2</v>
      </c>
      <c r="Z321" s="14">
        <v>2</v>
      </c>
      <c r="AA321" s="14">
        <v>2</v>
      </c>
      <c r="AB321" s="18">
        <v>3</v>
      </c>
    </row>
    <row r="322" spans="2:28" ht="12.75" x14ac:dyDescent="0.2">
      <c r="B322" s="86"/>
      <c r="C322" s="89"/>
      <c r="D322" s="79"/>
      <c r="E322" s="79"/>
      <c r="F322" s="79"/>
      <c r="G322" s="81"/>
      <c r="H322" s="83"/>
      <c r="I322" s="15"/>
      <c r="J322" s="15"/>
      <c r="K322" s="102"/>
      <c r="L322" s="43">
        <v>58333.399999999994</v>
      </c>
      <c r="M322" s="14" t="s">
        <v>244</v>
      </c>
      <c r="N322" s="19" t="s">
        <v>706</v>
      </c>
      <c r="O322" s="14" t="s">
        <v>707</v>
      </c>
      <c r="P322" s="37">
        <v>10</v>
      </c>
      <c r="Q322" s="14"/>
      <c r="R322" s="14">
        <v>1</v>
      </c>
      <c r="S322" s="14">
        <v>1</v>
      </c>
      <c r="T322" s="14">
        <v>1</v>
      </c>
      <c r="U322" s="14">
        <v>1</v>
      </c>
      <c r="V322" s="14">
        <v>1</v>
      </c>
      <c r="W322" s="14">
        <v>1</v>
      </c>
      <c r="X322" s="14">
        <v>1</v>
      </c>
      <c r="Y322" s="14">
        <v>1</v>
      </c>
      <c r="Z322" s="14">
        <v>1</v>
      </c>
      <c r="AA322" s="14">
        <v>1</v>
      </c>
      <c r="AB322" s="18"/>
    </row>
    <row r="323" spans="2:28" ht="25.5" x14ac:dyDescent="0.2">
      <c r="B323" s="86"/>
      <c r="C323" s="89"/>
      <c r="D323" s="79"/>
      <c r="E323" s="79"/>
      <c r="F323" s="79"/>
      <c r="G323" s="81"/>
      <c r="H323" s="83"/>
      <c r="I323" s="15"/>
      <c r="J323" s="15"/>
      <c r="K323" s="102"/>
      <c r="L323" s="43">
        <v>58333.34</v>
      </c>
      <c r="M323" s="14" t="s">
        <v>247</v>
      </c>
      <c r="N323" s="19" t="s">
        <v>708</v>
      </c>
      <c r="O323" s="14" t="s">
        <v>709</v>
      </c>
      <c r="P323" s="37">
        <v>1</v>
      </c>
      <c r="Q323" s="14"/>
      <c r="R323" s="14"/>
      <c r="S323" s="14"/>
      <c r="T323" s="14">
        <v>1</v>
      </c>
      <c r="U323" s="14"/>
      <c r="V323" s="14"/>
      <c r="W323" s="14"/>
      <c r="X323" s="14"/>
      <c r="Y323" s="14"/>
      <c r="Z323" s="14"/>
      <c r="AA323" s="14"/>
      <c r="AB323" s="18"/>
    </row>
    <row r="324" spans="2:28" ht="25.5" x14ac:dyDescent="0.2">
      <c r="B324" s="86"/>
      <c r="C324" s="89"/>
      <c r="D324" s="79"/>
      <c r="E324" s="79"/>
      <c r="F324" s="79"/>
      <c r="G324" s="81"/>
      <c r="H324" s="83"/>
      <c r="I324" s="15"/>
      <c r="J324" s="15"/>
      <c r="K324" s="102"/>
      <c r="L324" s="43">
        <v>58333.3</v>
      </c>
      <c r="M324" s="14" t="s">
        <v>249</v>
      </c>
      <c r="N324" s="19" t="s">
        <v>710</v>
      </c>
      <c r="O324" s="14" t="s">
        <v>711</v>
      </c>
      <c r="P324" s="37">
        <v>5</v>
      </c>
      <c r="Q324" s="14"/>
      <c r="R324" s="14"/>
      <c r="S324" s="14"/>
      <c r="T324" s="14"/>
      <c r="U324" s="14">
        <v>1</v>
      </c>
      <c r="V324" s="14"/>
      <c r="W324" s="14">
        <v>1</v>
      </c>
      <c r="X324" s="14"/>
      <c r="Y324" s="14">
        <v>1</v>
      </c>
      <c r="Z324" s="14">
        <v>1</v>
      </c>
      <c r="AA324" s="14">
        <v>1</v>
      </c>
      <c r="AB324" s="18"/>
    </row>
    <row r="325" spans="2:28" ht="38.25" x14ac:dyDescent="0.2">
      <c r="B325" s="86"/>
      <c r="C325" s="89"/>
      <c r="D325" s="79"/>
      <c r="E325" s="79"/>
      <c r="F325" s="79"/>
      <c r="G325" s="81"/>
      <c r="H325" s="83"/>
      <c r="I325" s="15"/>
      <c r="J325" s="15"/>
      <c r="K325" s="102"/>
      <c r="L325" s="43">
        <v>58333.34</v>
      </c>
      <c r="M325" s="14" t="s">
        <v>553</v>
      </c>
      <c r="N325" s="19" t="s">
        <v>712</v>
      </c>
      <c r="O325" s="14" t="s">
        <v>707</v>
      </c>
      <c r="P325" s="37">
        <v>1</v>
      </c>
      <c r="Q325" s="14"/>
      <c r="R325" s="14"/>
      <c r="S325" s="14"/>
      <c r="T325" s="14"/>
      <c r="U325" s="14">
        <v>1</v>
      </c>
      <c r="V325" s="14"/>
      <c r="W325" s="14"/>
      <c r="X325" s="14"/>
      <c r="Y325" s="14"/>
      <c r="Z325" s="14"/>
      <c r="AA325" s="14"/>
      <c r="AB325" s="18"/>
    </row>
    <row r="326" spans="2:28" ht="25.5" x14ac:dyDescent="0.2">
      <c r="B326" s="86"/>
      <c r="C326" s="89"/>
      <c r="D326" s="79"/>
      <c r="E326" s="79"/>
      <c r="F326" s="79"/>
      <c r="G326" s="81"/>
      <c r="H326" s="83"/>
      <c r="I326" s="15"/>
      <c r="J326" s="15"/>
      <c r="K326" s="102"/>
      <c r="L326" s="43">
        <v>58333.36</v>
      </c>
      <c r="M326" s="14" t="s">
        <v>555</v>
      </c>
      <c r="N326" s="19" t="s">
        <v>713</v>
      </c>
      <c r="O326" s="14" t="s">
        <v>714</v>
      </c>
      <c r="P326" s="37">
        <v>4</v>
      </c>
      <c r="Q326" s="14"/>
      <c r="R326" s="14"/>
      <c r="S326" s="14">
        <v>1</v>
      </c>
      <c r="T326" s="14"/>
      <c r="U326" s="14"/>
      <c r="V326" s="14">
        <v>1</v>
      </c>
      <c r="W326" s="14"/>
      <c r="X326" s="14"/>
      <c r="Y326" s="14">
        <v>1</v>
      </c>
      <c r="Z326" s="14"/>
      <c r="AA326" s="14"/>
      <c r="AB326" s="18">
        <v>1</v>
      </c>
    </row>
    <row r="327" spans="2:28" ht="51" x14ac:dyDescent="0.2">
      <c r="B327" s="86"/>
      <c r="C327" s="89"/>
      <c r="D327" s="79"/>
      <c r="E327" s="79"/>
      <c r="F327" s="79"/>
      <c r="G327" s="81"/>
      <c r="H327" s="83"/>
      <c r="I327" s="15"/>
      <c r="J327" s="15"/>
      <c r="K327" s="101"/>
      <c r="L327" s="43">
        <v>58333.38</v>
      </c>
      <c r="M327" s="14" t="s">
        <v>558</v>
      </c>
      <c r="N327" s="19" t="s">
        <v>823</v>
      </c>
      <c r="O327" s="14" t="s">
        <v>715</v>
      </c>
      <c r="P327" s="37">
        <v>6</v>
      </c>
      <c r="Q327" s="14">
        <v>1</v>
      </c>
      <c r="R327" s="14"/>
      <c r="S327" s="14">
        <v>1</v>
      </c>
      <c r="T327" s="14"/>
      <c r="U327" s="14">
        <v>1</v>
      </c>
      <c r="V327" s="14"/>
      <c r="W327" s="14">
        <v>1</v>
      </c>
      <c r="X327" s="14"/>
      <c r="Y327" s="14">
        <v>1</v>
      </c>
      <c r="Z327" s="14"/>
      <c r="AA327" s="14">
        <v>1</v>
      </c>
      <c r="AB327" s="18"/>
    </row>
    <row r="328" spans="2:28" ht="12.75" x14ac:dyDescent="0.2">
      <c r="B328" s="86"/>
      <c r="C328" s="89"/>
      <c r="D328" s="79"/>
      <c r="E328" s="79">
        <v>64</v>
      </c>
      <c r="F328" s="79" t="s">
        <v>810</v>
      </c>
      <c r="G328" s="81" t="s">
        <v>302</v>
      </c>
      <c r="H328" s="83" t="s">
        <v>716</v>
      </c>
      <c r="I328" s="15"/>
      <c r="J328" s="15"/>
      <c r="K328" s="100">
        <f>SUM(L328:L333)</f>
        <v>21058960.210000001</v>
      </c>
      <c r="L328" s="43">
        <v>11577455.130000001</v>
      </c>
      <c r="M328" s="14" t="s">
        <v>304</v>
      </c>
      <c r="N328" s="19" t="s">
        <v>25</v>
      </c>
      <c r="O328" s="14" t="s">
        <v>675</v>
      </c>
      <c r="P328" s="37">
        <v>25</v>
      </c>
      <c r="Q328" s="14">
        <v>2</v>
      </c>
      <c r="R328" s="14">
        <v>2</v>
      </c>
      <c r="S328" s="14">
        <v>2</v>
      </c>
      <c r="T328" s="14">
        <v>2</v>
      </c>
      <c r="U328" s="14">
        <v>2</v>
      </c>
      <c r="V328" s="14">
        <v>2</v>
      </c>
      <c r="W328" s="14">
        <v>2</v>
      </c>
      <c r="X328" s="14">
        <v>2</v>
      </c>
      <c r="Y328" s="14">
        <v>2</v>
      </c>
      <c r="Z328" s="14">
        <v>2</v>
      </c>
      <c r="AA328" s="14">
        <v>2</v>
      </c>
      <c r="AB328" s="18">
        <v>3</v>
      </c>
    </row>
    <row r="329" spans="2:28" ht="39" customHeight="1" x14ac:dyDescent="0.2">
      <c r="B329" s="86"/>
      <c r="C329" s="89"/>
      <c r="D329" s="79"/>
      <c r="E329" s="79"/>
      <c r="F329" s="79"/>
      <c r="G329" s="81"/>
      <c r="H329" s="83"/>
      <c r="I329" s="15"/>
      <c r="J329" s="15"/>
      <c r="K329" s="102"/>
      <c r="L329" s="43">
        <v>468.64</v>
      </c>
      <c r="M329" s="14" t="s">
        <v>305</v>
      </c>
      <c r="N329" s="19" t="s">
        <v>717</v>
      </c>
      <c r="O329" s="14" t="s">
        <v>718</v>
      </c>
      <c r="P329" s="37">
        <v>1</v>
      </c>
      <c r="Q329" s="14"/>
      <c r="R329" s="14"/>
      <c r="S329" s="14"/>
      <c r="T329" s="14">
        <v>1</v>
      </c>
      <c r="U329" s="14"/>
      <c r="V329" s="14"/>
      <c r="W329" s="14"/>
      <c r="X329" s="14"/>
      <c r="Y329" s="14"/>
      <c r="Z329" s="14"/>
      <c r="AA329" s="14"/>
      <c r="AB329" s="18"/>
    </row>
    <row r="330" spans="2:28" ht="46.15" customHeight="1" x14ac:dyDescent="0.2">
      <c r="B330" s="86"/>
      <c r="C330" s="89"/>
      <c r="D330" s="79"/>
      <c r="E330" s="79"/>
      <c r="F330" s="79"/>
      <c r="G330" s="81"/>
      <c r="H330" s="83"/>
      <c r="I330" s="15"/>
      <c r="J330" s="15"/>
      <c r="K330" s="102"/>
      <c r="L330" s="43">
        <v>468.64</v>
      </c>
      <c r="M330" s="14" t="s">
        <v>308</v>
      </c>
      <c r="N330" s="19" t="s">
        <v>719</v>
      </c>
      <c r="O330" s="14" t="s">
        <v>720</v>
      </c>
      <c r="P330" s="37">
        <v>1</v>
      </c>
      <c r="Q330" s="14"/>
      <c r="R330" s="14">
        <v>1</v>
      </c>
      <c r="S330" s="14"/>
      <c r="T330" s="14"/>
      <c r="U330" s="14"/>
      <c r="V330" s="14"/>
      <c r="W330" s="14"/>
      <c r="X330" s="14"/>
      <c r="Y330" s="14"/>
      <c r="Z330" s="14"/>
      <c r="AA330" s="14"/>
      <c r="AB330" s="18"/>
    </row>
    <row r="331" spans="2:28" ht="38.25" x14ac:dyDescent="0.2">
      <c r="B331" s="86"/>
      <c r="C331" s="89"/>
      <c r="D331" s="79"/>
      <c r="E331" s="79"/>
      <c r="F331" s="79"/>
      <c r="G331" s="81"/>
      <c r="H331" s="83"/>
      <c r="I331" s="15"/>
      <c r="J331" s="15"/>
      <c r="K331" s="102"/>
      <c r="L331" s="43">
        <v>468.64</v>
      </c>
      <c r="M331" s="14" t="s">
        <v>311</v>
      </c>
      <c r="N331" s="19" t="s">
        <v>721</v>
      </c>
      <c r="O331" s="14" t="s">
        <v>722</v>
      </c>
      <c r="P331" s="37">
        <v>2</v>
      </c>
      <c r="Q331" s="14"/>
      <c r="R331" s="14"/>
      <c r="S331" s="14"/>
      <c r="T331" s="14">
        <v>1</v>
      </c>
      <c r="U331" s="14"/>
      <c r="V331" s="14"/>
      <c r="W331" s="14">
        <v>1</v>
      </c>
      <c r="X331" s="14"/>
      <c r="Y331" s="14"/>
      <c r="Z331" s="14"/>
      <c r="AA331" s="14"/>
      <c r="AB331" s="18"/>
    </row>
    <row r="332" spans="2:28" ht="25.5" x14ac:dyDescent="0.2">
      <c r="B332" s="86"/>
      <c r="C332" s="89"/>
      <c r="D332" s="79"/>
      <c r="E332" s="79"/>
      <c r="F332" s="79"/>
      <c r="G332" s="81"/>
      <c r="H332" s="83"/>
      <c r="I332" s="15"/>
      <c r="J332" s="15"/>
      <c r="K332" s="102"/>
      <c r="L332" s="43">
        <v>3663326.3200000003</v>
      </c>
      <c r="M332" s="14" t="s">
        <v>723</v>
      </c>
      <c r="N332" s="19" t="s">
        <v>724</v>
      </c>
      <c r="O332" s="14" t="s">
        <v>725</v>
      </c>
      <c r="P332" s="37">
        <v>8</v>
      </c>
      <c r="Q332" s="14">
        <v>1</v>
      </c>
      <c r="R332" s="14">
        <v>1</v>
      </c>
      <c r="S332" s="14"/>
      <c r="T332" s="14"/>
      <c r="U332" s="14">
        <v>1</v>
      </c>
      <c r="V332" s="14"/>
      <c r="W332" s="14"/>
      <c r="X332" s="14">
        <v>1</v>
      </c>
      <c r="Y332" s="14">
        <v>1</v>
      </c>
      <c r="Z332" s="14">
        <v>1</v>
      </c>
      <c r="AA332" s="14">
        <v>1</v>
      </c>
      <c r="AB332" s="18">
        <v>1</v>
      </c>
    </row>
    <row r="333" spans="2:28" ht="38.25" x14ac:dyDescent="0.2">
      <c r="B333" s="86"/>
      <c r="C333" s="89"/>
      <c r="D333" s="79"/>
      <c r="E333" s="79"/>
      <c r="F333" s="79"/>
      <c r="G333" s="81"/>
      <c r="H333" s="83"/>
      <c r="I333" s="15"/>
      <c r="J333" s="15"/>
      <c r="K333" s="101"/>
      <c r="L333" s="43">
        <v>5816772.8399999999</v>
      </c>
      <c r="M333" s="14" t="s">
        <v>726</v>
      </c>
      <c r="N333" s="19" t="s">
        <v>727</v>
      </c>
      <c r="O333" s="14" t="s">
        <v>728</v>
      </c>
      <c r="P333" s="37">
        <v>12</v>
      </c>
      <c r="Q333" s="14">
        <v>1</v>
      </c>
      <c r="R333" s="14">
        <v>1</v>
      </c>
      <c r="S333" s="14">
        <v>1</v>
      </c>
      <c r="T333" s="14">
        <v>1</v>
      </c>
      <c r="U333" s="14">
        <v>1</v>
      </c>
      <c r="V333" s="14">
        <v>1</v>
      </c>
      <c r="W333" s="14">
        <v>1</v>
      </c>
      <c r="X333" s="14">
        <v>1</v>
      </c>
      <c r="Y333" s="14">
        <v>1</v>
      </c>
      <c r="Z333" s="14">
        <v>1</v>
      </c>
      <c r="AA333" s="14">
        <v>1</v>
      </c>
      <c r="AB333" s="18">
        <v>1</v>
      </c>
    </row>
    <row r="334" spans="2:28" ht="12.75" x14ac:dyDescent="0.2">
      <c r="B334" s="86"/>
      <c r="C334" s="89"/>
      <c r="D334" s="79"/>
      <c r="E334" s="79">
        <v>66</v>
      </c>
      <c r="F334" s="79" t="s">
        <v>811</v>
      </c>
      <c r="G334" s="81" t="s">
        <v>325</v>
      </c>
      <c r="H334" s="83" t="s">
        <v>729</v>
      </c>
      <c r="I334" s="15"/>
      <c r="J334" s="15"/>
      <c r="K334" s="100">
        <f>SUM(L334:L335)</f>
        <v>1070942.8699999999</v>
      </c>
      <c r="L334" s="43">
        <v>1008375.35</v>
      </c>
      <c r="M334" s="14" t="s">
        <v>327</v>
      </c>
      <c r="N334" s="19" t="s">
        <v>25</v>
      </c>
      <c r="O334" s="14" t="s">
        <v>675</v>
      </c>
      <c r="P334" s="37">
        <v>25</v>
      </c>
      <c r="Q334" s="14">
        <v>2</v>
      </c>
      <c r="R334" s="14">
        <v>2</v>
      </c>
      <c r="S334" s="14">
        <v>2</v>
      </c>
      <c r="T334" s="14">
        <v>2</v>
      </c>
      <c r="U334" s="14">
        <v>2</v>
      </c>
      <c r="V334" s="14">
        <v>2</v>
      </c>
      <c r="W334" s="14">
        <v>2</v>
      </c>
      <c r="X334" s="14">
        <v>2</v>
      </c>
      <c r="Y334" s="14">
        <v>2</v>
      </c>
      <c r="Z334" s="14">
        <v>2</v>
      </c>
      <c r="AA334" s="14">
        <v>2</v>
      </c>
      <c r="AB334" s="18">
        <v>3</v>
      </c>
    </row>
    <row r="335" spans="2:28" ht="12.75" x14ac:dyDescent="0.2">
      <c r="B335" s="86"/>
      <c r="C335" s="89"/>
      <c r="D335" s="79"/>
      <c r="E335" s="79"/>
      <c r="F335" s="79"/>
      <c r="G335" s="81"/>
      <c r="H335" s="83"/>
      <c r="I335" s="15"/>
      <c r="J335" s="15"/>
      <c r="K335" s="101"/>
      <c r="L335" s="43">
        <v>62567.519999999997</v>
      </c>
      <c r="M335" s="14" t="s">
        <v>328</v>
      </c>
      <c r="N335" s="19" t="s">
        <v>730</v>
      </c>
      <c r="O335" s="14" t="s">
        <v>731</v>
      </c>
      <c r="P335" s="37">
        <v>12</v>
      </c>
      <c r="Q335" s="14">
        <v>1</v>
      </c>
      <c r="R335" s="14">
        <v>1</v>
      </c>
      <c r="S335" s="14">
        <v>1</v>
      </c>
      <c r="T335" s="14">
        <v>1</v>
      </c>
      <c r="U335" s="14">
        <v>1</v>
      </c>
      <c r="V335" s="14">
        <v>1</v>
      </c>
      <c r="W335" s="14">
        <v>1</v>
      </c>
      <c r="X335" s="14">
        <v>1</v>
      </c>
      <c r="Y335" s="14">
        <v>1</v>
      </c>
      <c r="Z335" s="14">
        <v>1</v>
      </c>
      <c r="AA335" s="14">
        <v>1</v>
      </c>
      <c r="AB335" s="18">
        <v>1</v>
      </c>
    </row>
    <row r="336" spans="2:28" ht="12.75" x14ac:dyDescent="0.2">
      <c r="B336" s="86"/>
      <c r="C336" s="89"/>
      <c r="D336" s="79"/>
      <c r="E336" s="79">
        <v>36</v>
      </c>
      <c r="F336" s="79" t="s">
        <v>812</v>
      </c>
      <c r="G336" s="81" t="s">
        <v>340</v>
      </c>
      <c r="H336" s="83" t="s">
        <v>732</v>
      </c>
      <c r="I336" s="15"/>
      <c r="J336" s="15"/>
      <c r="K336" s="100">
        <f>SUM(L336:L339)</f>
        <v>8371477.0899999999</v>
      </c>
      <c r="L336" s="43">
        <v>4750138.13</v>
      </c>
      <c r="M336" s="14" t="s">
        <v>342</v>
      </c>
      <c r="N336" s="19" t="s">
        <v>25</v>
      </c>
      <c r="O336" s="37" t="s">
        <v>675</v>
      </c>
      <c r="P336" s="37">
        <v>25</v>
      </c>
      <c r="Q336" s="14">
        <v>2</v>
      </c>
      <c r="R336" s="14">
        <v>2</v>
      </c>
      <c r="S336" s="14">
        <v>2</v>
      </c>
      <c r="T336" s="14">
        <v>2</v>
      </c>
      <c r="U336" s="14">
        <v>2</v>
      </c>
      <c r="V336" s="14">
        <v>2</v>
      </c>
      <c r="W336" s="14">
        <v>2</v>
      </c>
      <c r="X336" s="14">
        <v>2</v>
      </c>
      <c r="Y336" s="14">
        <v>2</v>
      </c>
      <c r="Z336" s="14">
        <v>2</v>
      </c>
      <c r="AA336" s="14">
        <v>2</v>
      </c>
      <c r="AB336" s="18">
        <v>3</v>
      </c>
    </row>
    <row r="337" spans="2:28" ht="25.5" x14ac:dyDescent="0.2">
      <c r="B337" s="86"/>
      <c r="C337" s="89"/>
      <c r="D337" s="79"/>
      <c r="E337" s="79"/>
      <c r="F337" s="79"/>
      <c r="G337" s="81"/>
      <c r="H337" s="83"/>
      <c r="I337" s="15"/>
      <c r="J337" s="15"/>
      <c r="K337" s="102"/>
      <c r="L337" s="43">
        <v>1921338.96</v>
      </c>
      <c r="M337" s="14" t="s">
        <v>343</v>
      </c>
      <c r="N337" s="19" t="s">
        <v>733</v>
      </c>
      <c r="O337" s="14" t="s">
        <v>734</v>
      </c>
      <c r="P337" s="37">
        <v>1</v>
      </c>
      <c r="Q337" s="14"/>
      <c r="R337" s="14"/>
      <c r="S337" s="14"/>
      <c r="T337" s="14"/>
      <c r="U337" s="14"/>
      <c r="V337" s="14"/>
      <c r="W337" s="14">
        <v>1</v>
      </c>
      <c r="X337" s="14"/>
      <c r="Y337" s="14"/>
      <c r="Z337" s="14"/>
      <c r="AA337" s="14"/>
      <c r="AB337" s="18"/>
    </row>
    <row r="338" spans="2:28" ht="25.5" x14ac:dyDescent="0.2">
      <c r="B338" s="86"/>
      <c r="C338" s="89"/>
      <c r="D338" s="79"/>
      <c r="E338" s="79"/>
      <c r="F338" s="79"/>
      <c r="G338" s="81"/>
      <c r="H338" s="83"/>
      <c r="I338" s="15"/>
      <c r="J338" s="15"/>
      <c r="K338" s="102"/>
      <c r="L338" s="43">
        <v>700000</v>
      </c>
      <c r="M338" s="14" t="s">
        <v>346</v>
      </c>
      <c r="N338" s="19" t="s">
        <v>735</v>
      </c>
      <c r="O338" s="14" t="s">
        <v>734</v>
      </c>
      <c r="P338" s="37">
        <v>1</v>
      </c>
      <c r="Q338" s="14"/>
      <c r="R338" s="14"/>
      <c r="S338" s="14"/>
      <c r="T338" s="14"/>
      <c r="U338" s="14"/>
      <c r="V338" s="14"/>
      <c r="W338" s="14"/>
      <c r="X338" s="14">
        <v>1</v>
      </c>
      <c r="Y338" s="14"/>
      <c r="Z338" s="14"/>
      <c r="AA338" s="14"/>
      <c r="AB338" s="18"/>
    </row>
    <row r="339" spans="2:28" ht="12.75" x14ac:dyDescent="0.2">
      <c r="B339" s="86"/>
      <c r="C339" s="89"/>
      <c r="D339" s="79"/>
      <c r="E339" s="79"/>
      <c r="F339" s="79"/>
      <c r="G339" s="81"/>
      <c r="H339" s="83"/>
      <c r="I339" s="15"/>
      <c r="J339" s="15"/>
      <c r="K339" s="101"/>
      <c r="L339" s="43">
        <v>1000000</v>
      </c>
      <c r="M339" s="14" t="s">
        <v>349</v>
      </c>
      <c r="N339" s="19" t="s">
        <v>736</v>
      </c>
      <c r="O339" s="14" t="s">
        <v>734</v>
      </c>
      <c r="P339" s="37">
        <v>1</v>
      </c>
      <c r="Q339" s="14"/>
      <c r="R339" s="14"/>
      <c r="S339" s="14"/>
      <c r="T339" s="14"/>
      <c r="U339" s="14"/>
      <c r="V339" s="14">
        <v>1</v>
      </c>
      <c r="W339" s="14"/>
      <c r="X339" s="14"/>
      <c r="Y339" s="14"/>
      <c r="Z339" s="14"/>
      <c r="AA339" s="14"/>
      <c r="AB339" s="18"/>
    </row>
    <row r="340" spans="2:28" ht="12.75" x14ac:dyDescent="0.2">
      <c r="B340" s="86"/>
      <c r="C340" s="89"/>
      <c r="D340" s="79"/>
      <c r="E340" s="79">
        <v>65</v>
      </c>
      <c r="F340" s="79" t="s">
        <v>813</v>
      </c>
      <c r="G340" s="81" t="s">
        <v>352</v>
      </c>
      <c r="H340" s="83" t="s">
        <v>737</v>
      </c>
      <c r="I340" s="15"/>
      <c r="J340" s="15"/>
      <c r="K340" s="100">
        <f>SUM(L340:L342)</f>
        <v>2151597.8600000003</v>
      </c>
      <c r="L340" s="43">
        <v>1959476.3800000001</v>
      </c>
      <c r="M340" s="14" t="s">
        <v>354</v>
      </c>
      <c r="N340" s="19" t="s">
        <v>25</v>
      </c>
      <c r="O340" s="14" t="s">
        <v>675</v>
      </c>
      <c r="P340" s="37">
        <v>25</v>
      </c>
      <c r="Q340" s="14">
        <v>2</v>
      </c>
      <c r="R340" s="14">
        <v>2</v>
      </c>
      <c r="S340" s="14">
        <v>2</v>
      </c>
      <c r="T340" s="14">
        <v>2</v>
      </c>
      <c r="U340" s="14">
        <v>2</v>
      </c>
      <c r="V340" s="14">
        <v>2</v>
      </c>
      <c r="W340" s="14">
        <v>2</v>
      </c>
      <c r="X340" s="14">
        <v>2</v>
      </c>
      <c r="Y340" s="14">
        <v>2</v>
      </c>
      <c r="Z340" s="14">
        <v>2</v>
      </c>
      <c r="AA340" s="14">
        <v>2</v>
      </c>
      <c r="AB340" s="18">
        <v>3</v>
      </c>
    </row>
    <row r="341" spans="2:28" ht="25.5" x14ac:dyDescent="0.2">
      <c r="B341" s="86"/>
      <c r="C341" s="89"/>
      <c r="D341" s="79"/>
      <c r="E341" s="79"/>
      <c r="F341" s="79"/>
      <c r="G341" s="81"/>
      <c r="H341" s="83"/>
      <c r="I341" s="15"/>
      <c r="J341" s="15"/>
      <c r="K341" s="102"/>
      <c r="L341" s="43">
        <v>96060.72</v>
      </c>
      <c r="M341" s="14" t="s">
        <v>355</v>
      </c>
      <c r="N341" s="12" t="s">
        <v>738</v>
      </c>
      <c r="O341" s="13" t="s">
        <v>739</v>
      </c>
      <c r="P341" s="37">
        <v>48</v>
      </c>
      <c r="Q341" s="14">
        <v>4</v>
      </c>
      <c r="R341" s="14">
        <v>4</v>
      </c>
      <c r="S341" s="14">
        <v>4</v>
      </c>
      <c r="T341" s="14">
        <v>4</v>
      </c>
      <c r="U341" s="14">
        <v>4</v>
      </c>
      <c r="V341" s="14">
        <v>4</v>
      </c>
      <c r="W341" s="14">
        <v>4</v>
      </c>
      <c r="X341" s="14">
        <v>4</v>
      </c>
      <c r="Y341" s="14">
        <v>4</v>
      </c>
      <c r="Z341" s="14">
        <v>4</v>
      </c>
      <c r="AA341" s="14">
        <v>4</v>
      </c>
      <c r="AB341" s="18">
        <v>4</v>
      </c>
    </row>
    <row r="342" spans="2:28" ht="38.25" x14ac:dyDescent="0.2">
      <c r="B342" s="86"/>
      <c r="C342" s="89"/>
      <c r="D342" s="79"/>
      <c r="E342" s="79"/>
      <c r="F342" s="79"/>
      <c r="G342" s="81"/>
      <c r="H342" s="83"/>
      <c r="I342" s="15"/>
      <c r="J342" s="15"/>
      <c r="K342" s="101"/>
      <c r="L342" s="43">
        <v>96060.760000000009</v>
      </c>
      <c r="M342" s="14" t="s">
        <v>358</v>
      </c>
      <c r="N342" s="19" t="s">
        <v>740</v>
      </c>
      <c r="O342" s="14" t="s">
        <v>741</v>
      </c>
      <c r="P342" s="37">
        <v>4</v>
      </c>
      <c r="Q342" s="14"/>
      <c r="R342" s="14"/>
      <c r="S342" s="14">
        <v>1</v>
      </c>
      <c r="T342" s="14"/>
      <c r="U342" s="14"/>
      <c r="V342" s="14">
        <v>1</v>
      </c>
      <c r="W342" s="14"/>
      <c r="X342" s="14"/>
      <c r="Y342" s="14">
        <v>1</v>
      </c>
      <c r="Z342" s="14"/>
      <c r="AA342" s="14"/>
      <c r="AB342" s="18">
        <v>1</v>
      </c>
    </row>
    <row r="343" spans="2:28" ht="12.75" x14ac:dyDescent="0.2">
      <c r="B343" s="86"/>
      <c r="C343" s="89"/>
      <c r="D343" s="79"/>
      <c r="E343" s="79">
        <v>63</v>
      </c>
      <c r="F343" s="79" t="s">
        <v>814</v>
      </c>
      <c r="G343" s="81" t="s">
        <v>364</v>
      </c>
      <c r="H343" s="83" t="s">
        <v>742</v>
      </c>
      <c r="I343" s="15"/>
      <c r="J343" s="15"/>
      <c r="K343" s="100">
        <f>SUM(L343:L344)</f>
        <v>5113246.78</v>
      </c>
      <c r="L343" s="43">
        <v>4333553.1400000006</v>
      </c>
      <c r="M343" s="49" t="s">
        <v>605</v>
      </c>
      <c r="N343" s="19" t="s">
        <v>25</v>
      </c>
      <c r="O343" s="14" t="s">
        <v>675</v>
      </c>
      <c r="P343" s="37">
        <v>25</v>
      </c>
      <c r="Q343" s="14">
        <v>2</v>
      </c>
      <c r="R343" s="14">
        <v>2</v>
      </c>
      <c r="S343" s="14">
        <v>2</v>
      </c>
      <c r="T343" s="14">
        <v>2</v>
      </c>
      <c r="U343" s="14">
        <v>2</v>
      </c>
      <c r="V343" s="14">
        <v>2</v>
      </c>
      <c r="W343" s="14">
        <v>2</v>
      </c>
      <c r="X343" s="14">
        <v>2</v>
      </c>
      <c r="Y343" s="14">
        <v>2</v>
      </c>
      <c r="Z343" s="14">
        <v>2</v>
      </c>
      <c r="AA343" s="14">
        <v>2</v>
      </c>
      <c r="AB343" s="18">
        <v>3</v>
      </c>
    </row>
    <row r="344" spans="2:28" ht="37.9" customHeight="1" x14ac:dyDescent="0.2">
      <c r="B344" s="86"/>
      <c r="C344" s="89"/>
      <c r="D344" s="79"/>
      <c r="E344" s="79"/>
      <c r="F344" s="79"/>
      <c r="G344" s="81"/>
      <c r="H344" s="83"/>
      <c r="I344" s="15"/>
      <c r="J344" s="15"/>
      <c r="K344" s="101"/>
      <c r="L344" s="43">
        <v>779693.64</v>
      </c>
      <c r="M344" s="49" t="s">
        <v>606</v>
      </c>
      <c r="N344" s="19" t="s">
        <v>826</v>
      </c>
      <c r="O344" s="13" t="s">
        <v>743</v>
      </c>
      <c r="P344" s="37">
        <f>SUM(Q344:AB344)</f>
        <v>111</v>
      </c>
      <c r="Q344" s="14">
        <v>6</v>
      </c>
      <c r="R344" s="14">
        <v>7</v>
      </c>
      <c r="S344" s="14">
        <v>10</v>
      </c>
      <c r="T344" s="14">
        <v>8</v>
      </c>
      <c r="U344" s="14">
        <v>10</v>
      </c>
      <c r="V344" s="14">
        <v>13</v>
      </c>
      <c r="W344" s="14">
        <v>14</v>
      </c>
      <c r="X344" s="14">
        <v>6</v>
      </c>
      <c r="Y344" s="14">
        <v>9</v>
      </c>
      <c r="Z344" s="14">
        <v>10</v>
      </c>
      <c r="AA344" s="14">
        <v>9</v>
      </c>
      <c r="AB344" s="18">
        <v>9</v>
      </c>
    </row>
    <row r="345" spans="2:28" ht="12.75" x14ac:dyDescent="0.2">
      <c r="B345" s="86"/>
      <c r="C345" s="89"/>
      <c r="D345" s="79"/>
      <c r="E345" s="79">
        <v>10</v>
      </c>
      <c r="F345" s="79" t="s">
        <v>815</v>
      </c>
      <c r="G345" s="81" t="s">
        <v>373</v>
      </c>
      <c r="H345" s="83" t="s">
        <v>744</v>
      </c>
      <c r="I345" s="15"/>
      <c r="J345" s="15"/>
      <c r="K345" s="100">
        <f>SUM(L345:L347)</f>
        <v>18985453.879999999</v>
      </c>
      <c r="L345" s="43">
        <v>2807205.97</v>
      </c>
      <c r="M345" s="49" t="s">
        <v>375</v>
      </c>
      <c r="N345" s="19" t="s">
        <v>25</v>
      </c>
      <c r="O345" s="14" t="s">
        <v>675</v>
      </c>
      <c r="P345" s="37">
        <v>25</v>
      </c>
      <c r="Q345" s="14">
        <v>2</v>
      </c>
      <c r="R345" s="14">
        <v>2</v>
      </c>
      <c r="S345" s="14">
        <v>2</v>
      </c>
      <c r="T345" s="14">
        <v>2</v>
      </c>
      <c r="U345" s="14">
        <v>2</v>
      </c>
      <c r="V345" s="14">
        <v>2</v>
      </c>
      <c r="W345" s="14">
        <v>2</v>
      </c>
      <c r="X345" s="14">
        <v>2</v>
      </c>
      <c r="Y345" s="14">
        <v>2</v>
      </c>
      <c r="Z345" s="14">
        <v>2</v>
      </c>
      <c r="AA345" s="14">
        <v>2</v>
      </c>
      <c r="AB345" s="18">
        <v>3</v>
      </c>
    </row>
    <row r="346" spans="2:28" ht="114.75" x14ac:dyDescent="0.2">
      <c r="B346" s="86"/>
      <c r="C346" s="89"/>
      <c r="D346" s="79"/>
      <c r="E346" s="79"/>
      <c r="F346" s="79"/>
      <c r="G346" s="81"/>
      <c r="H346" s="83"/>
      <c r="I346" s="15"/>
      <c r="J346" s="15"/>
      <c r="K346" s="102"/>
      <c r="L346" s="43">
        <v>57500</v>
      </c>
      <c r="M346" s="49" t="s">
        <v>626</v>
      </c>
      <c r="N346" s="19" t="s">
        <v>827</v>
      </c>
      <c r="O346" s="13" t="s">
        <v>682</v>
      </c>
      <c r="P346" s="37">
        <v>110</v>
      </c>
      <c r="Q346" s="14"/>
      <c r="R346" s="14"/>
      <c r="S346" s="14">
        <v>2</v>
      </c>
      <c r="T346" s="14">
        <v>6</v>
      </c>
      <c r="U346" s="14">
        <v>10</v>
      </c>
      <c r="V346" s="14">
        <v>15</v>
      </c>
      <c r="W346" s="14">
        <v>15</v>
      </c>
      <c r="X346" s="14">
        <v>15</v>
      </c>
      <c r="Y346" s="14">
        <v>15</v>
      </c>
      <c r="Z346" s="14">
        <v>15</v>
      </c>
      <c r="AA346" s="14">
        <v>15</v>
      </c>
      <c r="AB346" s="18">
        <v>2</v>
      </c>
    </row>
    <row r="347" spans="2:28" ht="114.75" x14ac:dyDescent="0.2">
      <c r="B347" s="86"/>
      <c r="C347" s="89"/>
      <c r="D347" s="79"/>
      <c r="E347" s="79"/>
      <c r="F347" s="79"/>
      <c r="G347" s="81"/>
      <c r="H347" s="83"/>
      <c r="I347" s="15"/>
      <c r="J347" s="15"/>
      <c r="K347" s="101"/>
      <c r="L347" s="43">
        <v>16120747.91</v>
      </c>
      <c r="M347" s="49" t="s">
        <v>629</v>
      </c>
      <c r="N347" s="19" t="s">
        <v>828</v>
      </c>
      <c r="O347" s="13" t="s">
        <v>682</v>
      </c>
      <c r="P347" s="37">
        <v>110</v>
      </c>
      <c r="Q347" s="14"/>
      <c r="R347" s="14"/>
      <c r="S347" s="14"/>
      <c r="T347" s="14">
        <v>2</v>
      </c>
      <c r="U347" s="14">
        <v>6</v>
      </c>
      <c r="V347" s="14">
        <v>10</v>
      </c>
      <c r="W347" s="14">
        <v>10</v>
      </c>
      <c r="X347" s="14">
        <v>15</v>
      </c>
      <c r="Y347" s="14">
        <v>20</v>
      </c>
      <c r="Z347" s="14">
        <v>20</v>
      </c>
      <c r="AA347" s="14">
        <v>15</v>
      </c>
      <c r="AB347" s="18">
        <v>12</v>
      </c>
    </row>
    <row r="348" spans="2:28" ht="19.899999999999999" customHeight="1" x14ac:dyDescent="0.2">
      <c r="B348" s="86"/>
      <c r="C348" s="89"/>
      <c r="D348" s="79"/>
      <c r="E348" s="79">
        <v>33</v>
      </c>
      <c r="F348" s="79" t="s">
        <v>816</v>
      </c>
      <c r="G348" s="81" t="s">
        <v>745</v>
      </c>
      <c r="H348" s="83" t="s">
        <v>746</v>
      </c>
      <c r="I348" s="15"/>
      <c r="J348" s="15"/>
      <c r="K348" s="100">
        <f>SUM(L348:L351)</f>
        <v>1023212.5700000002</v>
      </c>
      <c r="L348" s="43">
        <v>865063.01000000013</v>
      </c>
      <c r="M348" s="49" t="s">
        <v>747</v>
      </c>
      <c r="N348" s="19" t="s">
        <v>25</v>
      </c>
      <c r="O348" s="14" t="s">
        <v>675</v>
      </c>
      <c r="P348" s="37">
        <v>25</v>
      </c>
      <c r="Q348" s="14">
        <v>2</v>
      </c>
      <c r="R348" s="14">
        <v>2</v>
      </c>
      <c r="S348" s="14">
        <v>2</v>
      </c>
      <c r="T348" s="14">
        <v>2</v>
      </c>
      <c r="U348" s="14">
        <v>2</v>
      </c>
      <c r="V348" s="14">
        <v>2</v>
      </c>
      <c r="W348" s="14">
        <v>2</v>
      </c>
      <c r="X348" s="14">
        <v>2</v>
      </c>
      <c r="Y348" s="14">
        <v>2</v>
      </c>
      <c r="Z348" s="14">
        <v>2</v>
      </c>
      <c r="AA348" s="14">
        <v>2</v>
      </c>
      <c r="AB348" s="18">
        <v>3</v>
      </c>
    </row>
    <row r="349" spans="2:28" ht="28.9" customHeight="1" x14ac:dyDescent="0.2">
      <c r="B349" s="86"/>
      <c r="C349" s="89"/>
      <c r="D349" s="79"/>
      <c r="E349" s="79"/>
      <c r="F349" s="79"/>
      <c r="G349" s="81"/>
      <c r="H349" s="83"/>
      <c r="I349" s="15"/>
      <c r="J349" s="15"/>
      <c r="K349" s="102"/>
      <c r="L349" s="43">
        <v>24074.760000000002</v>
      </c>
      <c r="M349" s="49" t="s">
        <v>748</v>
      </c>
      <c r="N349" s="19" t="s">
        <v>749</v>
      </c>
      <c r="O349" s="14" t="s">
        <v>750</v>
      </c>
      <c r="P349" s="37">
        <v>660</v>
      </c>
      <c r="Q349" s="14">
        <v>75</v>
      </c>
      <c r="R349" s="14">
        <v>65</v>
      </c>
      <c r="S349" s="14">
        <v>65</v>
      </c>
      <c r="T349" s="14">
        <v>90</v>
      </c>
      <c r="U349" s="14">
        <v>40</v>
      </c>
      <c r="V349" s="14">
        <v>55</v>
      </c>
      <c r="W349" s="14">
        <v>50</v>
      </c>
      <c r="X349" s="14">
        <v>40</v>
      </c>
      <c r="Y349" s="14">
        <v>50</v>
      </c>
      <c r="Z349" s="14">
        <v>50</v>
      </c>
      <c r="AA349" s="14">
        <v>40</v>
      </c>
      <c r="AB349" s="18">
        <v>40</v>
      </c>
    </row>
    <row r="350" spans="2:28" ht="37.9" customHeight="1" x14ac:dyDescent="0.2">
      <c r="B350" s="86"/>
      <c r="C350" s="89"/>
      <c r="D350" s="79"/>
      <c r="E350" s="79"/>
      <c r="F350" s="79"/>
      <c r="G350" s="81"/>
      <c r="H350" s="83"/>
      <c r="I350" s="15"/>
      <c r="J350" s="15"/>
      <c r="K350" s="102"/>
      <c r="L350" s="43">
        <v>110000.04</v>
      </c>
      <c r="M350" s="49" t="s">
        <v>751</v>
      </c>
      <c r="N350" s="19" t="s">
        <v>752</v>
      </c>
      <c r="O350" s="14" t="s">
        <v>750</v>
      </c>
      <c r="P350" s="37">
        <v>12</v>
      </c>
      <c r="Q350" s="14">
        <v>1</v>
      </c>
      <c r="R350" s="14">
        <v>1</v>
      </c>
      <c r="S350" s="14">
        <v>1</v>
      </c>
      <c r="T350" s="14">
        <v>1</v>
      </c>
      <c r="U350" s="14">
        <v>1</v>
      </c>
      <c r="V350" s="14">
        <v>1</v>
      </c>
      <c r="W350" s="14">
        <v>1</v>
      </c>
      <c r="X350" s="14">
        <v>1</v>
      </c>
      <c r="Y350" s="14">
        <v>1</v>
      </c>
      <c r="Z350" s="14">
        <v>1</v>
      </c>
      <c r="AA350" s="14">
        <v>1</v>
      </c>
      <c r="AB350" s="18">
        <v>1</v>
      </c>
    </row>
    <row r="351" spans="2:28" ht="35.450000000000003" customHeight="1" thickBot="1" x14ac:dyDescent="0.25">
      <c r="B351" s="87"/>
      <c r="C351" s="90"/>
      <c r="D351" s="80"/>
      <c r="E351" s="80"/>
      <c r="F351" s="80"/>
      <c r="G351" s="82"/>
      <c r="H351" s="84"/>
      <c r="I351" s="24"/>
      <c r="J351" s="24"/>
      <c r="K351" s="103"/>
      <c r="L351" s="44">
        <v>24074.760000000002</v>
      </c>
      <c r="M351" s="50" t="s">
        <v>753</v>
      </c>
      <c r="N351" s="25" t="s">
        <v>754</v>
      </c>
      <c r="O351" s="23" t="s">
        <v>750</v>
      </c>
      <c r="P351" s="38">
        <v>12</v>
      </c>
      <c r="Q351" s="23">
        <v>1</v>
      </c>
      <c r="R351" s="23">
        <v>1</v>
      </c>
      <c r="S351" s="23">
        <v>1</v>
      </c>
      <c r="T351" s="23">
        <v>1</v>
      </c>
      <c r="U351" s="23">
        <v>1</v>
      </c>
      <c r="V351" s="23">
        <v>1</v>
      </c>
      <c r="W351" s="23">
        <v>1</v>
      </c>
      <c r="X351" s="23">
        <v>1</v>
      </c>
      <c r="Y351" s="23">
        <v>1</v>
      </c>
      <c r="Z351" s="23">
        <v>1</v>
      </c>
      <c r="AA351" s="23">
        <v>1</v>
      </c>
      <c r="AB351" s="26">
        <v>1</v>
      </c>
    </row>
    <row r="352" spans="2:28" ht="12.75" x14ac:dyDescent="0.2">
      <c r="B352" s="30"/>
      <c r="C352" s="40"/>
      <c r="D352" s="40"/>
      <c r="E352" s="40"/>
      <c r="F352" s="40"/>
      <c r="G352" s="61"/>
      <c r="H352" s="40"/>
      <c r="I352" s="40"/>
      <c r="J352" s="40"/>
      <c r="K352" s="62">
        <f>SUM(K303:K351)</f>
        <v>215533391.61000001</v>
      </c>
      <c r="L352" s="33"/>
      <c r="M352" s="30"/>
      <c r="N352" s="63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 spans="1:30" x14ac:dyDescent="0.2">
      <c r="H353" s="39"/>
      <c r="I353" s="39"/>
      <c r="J353" s="39"/>
      <c r="K353" s="39"/>
      <c r="L353" s="46"/>
    </row>
    <row r="354" spans="1:30" x14ac:dyDescent="0.2">
      <c r="H354" s="39"/>
      <c r="I354" s="39"/>
      <c r="J354" s="39"/>
      <c r="K354" s="39"/>
      <c r="L354" s="46"/>
    </row>
    <row r="355" spans="1:30" ht="12.75" x14ac:dyDescent="0.2">
      <c r="C355" s="73" t="s">
        <v>832</v>
      </c>
      <c r="D355" s="70">
        <f>SUM(D6:D351)</f>
        <v>445953862.80000001</v>
      </c>
      <c r="H355" s="48"/>
      <c r="I355" s="39"/>
      <c r="J355" s="39"/>
      <c r="K355" s="70"/>
      <c r="L355" s="46"/>
    </row>
    <row r="356" spans="1:30" ht="12.75" x14ac:dyDescent="0.2">
      <c r="C356" s="74"/>
      <c r="D356" s="70"/>
      <c r="H356" s="39"/>
      <c r="I356" s="39"/>
      <c r="J356" s="39"/>
      <c r="K356" s="71"/>
      <c r="L356" s="46"/>
    </row>
    <row r="357" spans="1:30" s="4" customFormat="1" ht="12.75" x14ac:dyDescent="0.2">
      <c r="A357" s="72"/>
      <c r="B357" s="3"/>
      <c r="C357" s="75" t="s">
        <v>835</v>
      </c>
      <c r="D357" s="70">
        <v>445953862.80000001</v>
      </c>
      <c r="E357" s="3"/>
      <c r="F357" s="3"/>
      <c r="G357" s="3"/>
      <c r="H357" s="48"/>
      <c r="I357" s="39"/>
      <c r="J357" s="39"/>
      <c r="K357" s="70"/>
      <c r="L357" s="46"/>
      <c r="N357" s="5"/>
      <c r="AC357" s="3"/>
      <c r="AD357" s="3"/>
    </row>
    <row r="358" spans="1:30" s="4" customFormat="1" ht="12.75" x14ac:dyDescent="0.2">
      <c r="B358" s="3"/>
      <c r="C358" s="74"/>
      <c r="D358" s="70"/>
      <c r="E358" s="3"/>
      <c r="F358" s="3"/>
      <c r="G358" s="3"/>
      <c r="H358" s="39"/>
      <c r="I358" s="39"/>
      <c r="J358" s="39"/>
      <c r="K358" s="71"/>
      <c r="L358" s="46"/>
      <c r="N358" s="5"/>
      <c r="AC358" s="3"/>
      <c r="AD358" s="3"/>
    </row>
    <row r="359" spans="1:30" ht="12.75" x14ac:dyDescent="0.2">
      <c r="C359" s="73" t="s">
        <v>833</v>
      </c>
      <c r="D359" s="70">
        <f>+D355-D357</f>
        <v>0</v>
      </c>
      <c r="H359" s="48"/>
      <c r="I359" s="39"/>
      <c r="J359" s="39"/>
      <c r="K359" s="70"/>
    </row>
  </sheetData>
  <mergeCells count="345">
    <mergeCell ref="D203:D282"/>
    <mergeCell ref="D284:D301"/>
    <mergeCell ref="D303:D351"/>
    <mergeCell ref="L3:O3"/>
    <mergeCell ref="P3:P4"/>
    <mergeCell ref="D6:D23"/>
    <mergeCell ref="B3:D3"/>
    <mergeCell ref="D25:D39"/>
    <mergeCell ref="D41:D51"/>
    <mergeCell ref="D53:D69"/>
    <mergeCell ref="D71:D97"/>
    <mergeCell ref="D99:D151"/>
    <mergeCell ref="D153:D201"/>
    <mergeCell ref="K316:K320"/>
    <mergeCell ref="K314:K315"/>
    <mergeCell ref="K305:K313"/>
    <mergeCell ref="K303:K304"/>
    <mergeCell ref="K297:K301"/>
    <mergeCell ref="K289:K296"/>
    <mergeCell ref="K284:K288"/>
    <mergeCell ref="K238:K245"/>
    <mergeCell ref="K246:K248"/>
    <mergeCell ref="K249:K254"/>
    <mergeCell ref="K255:K262"/>
    <mergeCell ref="K263:K268"/>
    <mergeCell ref="K269:K277"/>
    <mergeCell ref="K278:K282"/>
    <mergeCell ref="K348:K351"/>
    <mergeCell ref="K345:K347"/>
    <mergeCell ref="K343:K344"/>
    <mergeCell ref="K340:K342"/>
    <mergeCell ref="K336:K339"/>
    <mergeCell ref="K334:K335"/>
    <mergeCell ref="K328:K333"/>
    <mergeCell ref="K321:K327"/>
    <mergeCell ref="K173:K179"/>
    <mergeCell ref="K180:K183"/>
    <mergeCell ref="K184:K187"/>
    <mergeCell ref="K188:K193"/>
    <mergeCell ref="K194:K201"/>
    <mergeCell ref="K203:K208"/>
    <mergeCell ref="K209:K218"/>
    <mergeCell ref="K219:K226"/>
    <mergeCell ref="K227:K237"/>
    <mergeCell ref="K125:K132"/>
    <mergeCell ref="K133:K137"/>
    <mergeCell ref="K138:K141"/>
    <mergeCell ref="K142:K145"/>
    <mergeCell ref="K146:K148"/>
    <mergeCell ref="K149:K151"/>
    <mergeCell ref="K153:K159"/>
    <mergeCell ref="K160:K165"/>
    <mergeCell ref="K166:K172"/>
    <mergeCell ref="K80:K85"/>
    <mergeCell ref="K86:K87"/>
    <mergeCell ref="K88:K93"/>
    <mergeCell ref="K94:K97"/>
    <mergeCell ref="K99:K105"/>
    <mergeCell ref="K106:K108"/>
    <mergeCell ref="K109:K114"/>
    <mergeCell ref="K115:K119"/>
    <mergeCell ref="K120:K124"/>
    <mergeCell ref="K41:K47"/>
    <mergeCell ref="K48:K51"/>
    <mergeCell ref="K25:K28"/>
    <mergeCell ref="K29:K32"/>
    <mergeCell ref="K33:K39"/>
    <mergeCell ref="K53:K58"/>
    <mergeCell ref="K59:K64"/>
    <mergeCell ref="K65:K69"/>
    <mergeCell ref="K71:K79"/>
    <mergeCell ref="E3:F3"/>
    <mergeCell ref="B6:B23"/>
    <mergeCell ref="C6:C23"/>
    <mergeCell ref="E6:E13"/>
    <mergeCell ref="F6:F13"/>
    <mergeCell ref="G6:G13"/>
    <mergeCell ref="F19:F23"/>
    <mergeCell ref="G19:G23"/>
    <mergeCell ref="H19:H23"/>
    <mergeCell ref="K6:K13"/>
    <mergeCell ref="K14:K15"/>
    <mergeCell ref="K16:K18"/>
    <mergeCell ref="K19:K23"/>
    <mergeCell ref="G3:K3"/>
    <mergeCell ref="B25:B39"/>
    <mergeCell ref="C25:C39"/>
    <mergeCell ref="E25:E28"/>
    <mergeCell ref="F25:F28"/>
    <mergeCell ref="G25:G28"/>
    <mergeCell ref="H25:H28"/>
    <mergeCell ref="H6:H13"/>
    <mergeCell ref="E14:E15"/>
    <mergeCell ref="F14:F15"/>
    <mergeCell ref="G14:G15"/>
    <mergeCell ref="H14:H15"/>
    <mergeCell ref="E16:E18"/>
    <mergeCell ref="F16:F18"/>
    <mergeCell ref="G16:G18"/>
    <mergeCell ref="H16:H18"/>
    <mergeCell ref="E29:E32"/>
    <mergeCell ref="F29:F32"/>
    <mergeCell ref="G29:G32"/>
    <mergeCell ref="H29:H32"/>
    <mergeCell ref="E33:E39"/>
    <mergeCell ref="F33:F39"/>
    <mergeCell ref="G33:G39"/>
    <mergeCell ref="H33:H39"/>
    <mergeCell ref="E19:E23"/>
    <mergeCell ref="B41:B51"/>
    <mergeCell ref="C41:C51"/>
    <mergeCell ref="E41:E47"/>
    <mergeCell ref="F41:F47"/>
    <mergeCell ref="G41:G47"/>
    <mergeCell ref="H41:H47"/>
    <mergeCell ref="E48:E51"/>
    <mergeCell ref="F48:F51"/>
    <mergeCell ref="G48:G51"/>
    <mergeCell ref="H48:H51"/>
    <mergeCell ref="E65:E69"/>
    <mergeCell ref="F65:F69"/>
    <mergeCell ref="G65:G69"/>
    <mergeCell ref="H65:H69"/>
    <mergeCell ref="B71:B97"/>
    <mergeCell ref="C71:C97"/>
    <mergeCell ref="E71:E79"/>
    <mergeCell ref="F71:F79"/>
    <mergeCell ref="G71:G79"/>
    <mergeCell ref="H71:H79"/>
    <mergeCell ref="B53:B69"/>
    <mergeCell ref="C53:C69"/>
    <mergeCell ref="E53:E58"/>
    <mergeCell ref="F53:F58"/>
    <mergeCell ref="G53:G58"/>
    <mergeCell ref="H53:H58"/>
    <mergeCell ref="E59:E64"/>
    <mergeCell ref="F59:F64"/>
    <mergeCell ref="G59:G64"/>
    <mergeCell ref="H59:H64"/>
    <mergeCell ref="E88:E93"/>
    <mergeCell ref="F88:F93"/>
    <mergeCell ref="G88:G93"/>
    <mergeCell ref="H88:H93"/>
    <mergeCell ref="E94:E97"/>
    <mergeCell ref="F94:F97"/>
    <mergeCell ref="G94:G97"/>
    <mergeCell ref="H94:H97"/>
    <mergeCell ref="E80:E85"/>
    <mergeCell ref="F80:F85"/>
    <mergeCell ref="G80:G85"/>
    <mergeCell ref="H80:H85"/>
    <mergeCell ref="E86:E87"/>
    <mergeCell ref="F86:F87"/>
    <mergeCell ref="G86:G87"/>
    <mergeCell ref="H86:H87"/>
    <mergeCell ref="E120:E124"/>
    <mergeCell ref="F120:F124"/>
    <mergeCell ref="G120:G124"/>
    <mergeCell ref="H120:H124"/>
    <mergeCell ref="E125:E132"/>
    <mergeCell ref="F125:F132"/>
    <mergeCell ref="G125:G132"/>
    <mergeCell ref="H125:H132"/>
    <mergeCell ref="E109:E114"/>
    <mergeCell ref="F109:F114"/>
    <mergeCell ref="G109:G114"/>
    <mergeCell ref="H109:H114"/>
    <mergeCell ref="E115:E119"/>
    <mergeCell ref="F115:F119"/>
    <mergeCell ref="G115:G119"/>
    <mergeCell ref="H115:H119"/>
    <mergeCell ref="E142:E145"/>
    <mergeCell ref="F142:F145"/>
    <mergeCell ref="G142:G145"/>
    <mergeCell ref="H142:H145"/>
    <mergeCell ref="E146:E148"/>
    <mergeCell ref="F146:F148"/>
    <mergeCell ref="G146:G148"/>
    <mergeCell ref="H146:H148"/>
    <mergeCell ref="E133:E137"/>
    <mergeCell ref="F133:F137"/>
    <mergeCell ref="G133:G137"/>
    <mergeCell ref="H133:H137"/>
    <mergeCell ref="E138:E141"/>
    <mergeCell ref="F138:F141"/>
    <mergeCell ref="G138:G141"/>
    <mergeCell ref="H138:H141"/>
    <mergeCell ref="E149:E151"/>
    <mergeCell ref="F149:F151"/>
    <mergeCell ref="G149:G151"/>
    <mergeCell ref="H149:H151"/>
    <mergeCell ref="B153:B201"/>
    <mergeCell ref="C153:C201"/>
    <mergeCell ref="E153:E159"/>
    <mergeCell ref="F153:F159"/>
    <mergeCell ref="G153:G159"/>
    <mergeCell ref="H153:H159"/>
    <mergeCell ref="B99:B151"/>
    <mergeCell ref="C99:C151"/>
    <mergeCell ref="E99:E105"/>
    <mergeCell ref="F99:F105"/>
    <mergeCell ref="G99:G105"/>
    <mergeCell ref="H99:H105"/>
    <mergeCell ref="E106:E108"/>
    <mergeCell ref="F106:F108"/>
    <mergeCell ref="G106:G108"/>
    <mergeCell ref="H106:H108"/>
    <mergeCell ref="E173:E179"/>
    <mergeCell ref="F173:F179"/>
    <mergeCell ref="G173:G179"/>
    <mergeCell ref="H173:H179"/>
    <mergeCell ref="E180:E183"/>
    <mergeCell ref="F180:F183"/>
    <mergeCell ref="G180:G183"/>
    <mergeCell ref="H180:H183"/>
    <mergeCell ref="E160:E165"/>
    <mergeCell ref="F160:F165"/>
    <mergeCell ref="G160:G165"/>
    <mergeCell ref="H160:H165"/>
    <mergeCell ref="E166:E172"/>
    <mergeCell ref="F166:F172"/>
    <mergeCell ref="G166:G172"/>
    <mergeCell ref="H166:H172"/>
    <mergeCell ref="B203:B282"/>
    <mergeCell ref="C203:C282"/>
    <mergeCell ref="E203:E208"/>
    <mergeCell ref="F203:F208"/>
    <mergeCell ref="G203:G208"/>
    <mergeCell ref="H203:H208"/>
    <mergeCell ref="E184:E187"/>
    <mergeCell ref="F184:F187"/>
    <mergeCell ref="G184:G187"/>
    <mergeCell ref="H184:H187"/>
    <mergeCell ref="E188:E193"/>
    <mergeCell ref="F188:F193"/>
    <mergeCell ref="G188:G193"/>
    <mergeCell ref="H188:H193"/>
    <mergeCell ref="E209:E218"/>
    <mergeCell ref="F209:F218"/>
    <mergeCell ref="G209:G218"/>
    <mergeCell ref="H209:H218"/>
    <mergeCell ref="E219:E226"/>
    <mergeCell ref="F219:F226"/>
    <mergeCell ref="G219:G226"/>
    <mergeCell ref="H219:H226"/>
    <mergeCell ref="E194:E201"/>
    <mergeCell ref="F194:F201"/>
    <mergeCell ref="G194:G201"/>
    <mergeCell ref="H194:H201"/>
    <mergeCell ref="E246:E248"/>
    <mergeCell ref="F246:F248"/>
    <mergeCell ref="G246:G248"/>
    <mergeCell ref="H246:H248"/>
    <mergeCell ref="E249:E254"/>
    <mergeCell ref="F249:F254"/>
    <mergeCell ref="G249:G254"/>
    <mergeCell ref="H249:H254"/>
    <mergeCell ref="E227:E237"/>
    <mergeCell ref="F227:F237"/>
    <mergeCell ref="G227:G237"/>
    <mergeCell ref="H227:H237"/>
    <mergeCell ref="E238:E245"/>
    <mergeCell ref="F238:F245"/>
    <mergeCell ref="G238:G245"/>
    <mergeCell ref="H238:H245"/>
    <mergeCell ref="E269:E277"/>
    <mergeCell ref="F269:F277"/>
    <mergeCell ref="G269:G277"/>
    <mergeCell ref="H269:H277"/>
    <mergeCell ref="E278:E282"/>
    <mergeCell ref="F278:F282"/>
    <mergeCell ref="G278:G282"/>
    <mergeCell ref="H278:H282"/>
    <mergeCell ref="E255:E262"/>
    <mergeCell ref="F255:F262"/>
    <mergeCell ref="G255:G262"/>
    <mergeCell ref="H255:H262"/>
    <mergeCell ref="E263:E268"/>
    <mergeCell ref="F263:F268"/>
    <mergeCell ref="G263:G268"/>
    <mergeCell ref="H263:H268"/>
    <mergeCell ref="E297:E301"/>
    <mergeCell ref="F297:F301"/>
    <mergeCell ref="G297:G301"/>
    <mergeCell ref="H297:H301"/>
    <mergeCell ref="B303:B351"/>
    <mergeCell ref="C303:C351"/>
    <mergeCell ref="E303:E304"/>
    <mergeCell ref="F303:F304"/>
    <mergeCell ref="G303:G304"/>
    <mergeCell ref="H303:H304"/>
    <mergeCell ref="B284:B301"/>
    <mergeCell ref="C284:C301"/>
    <mergeCell ref="E284:E288"/>
    <mergeCell ref="F284:F288"/>
    <mergeCell ref="G284:G288"/>
    <mergeCell ref="H284:H288"/>
    <mergeCell ref="E289:E296"/>
    <mergeCell ref="F289:F296"/>
    <mergeCell ref="G289:G296"/>
    <mergeCell ref="H289:H296"/>
    <mergeCell ref="E316:E320"/>
    <mergeCell ref="F316:F320"/>
    <mergeCell ref="G316:G320"/>
    <mergeCell ref="H316:H320"/>
    <mergeCell ref="E321:E327"/>
    <mergeCell ref="F321:F327"/>
    <mergeCell ref="G321:G327"/>
    <mergeCell ref="H321:H327"/>
    <mergeCell ref="E305:E313"/>
    <mergeCell ref="F305:F313"/>
    <mergeCell ref="G305:G313"/>
    <mergeCell ref="H305:H313"/>
    <mergeCell ref="E314:E315"/>
    <mergeCell ref="F314:F315"/>
    <mergeCell ref="G314:G315"/>
    <mergeCell ref="H314:H315"/>
    <mergeCell ref="E336:E339"/>
    <mergeCell ref="F336:F339"/>
    <mergeCell ref="G336:G339"/>
    <mergeCell ref="H336:H339"/>
    <mergeCell ref="E340:E342"/>
    <mergeCell ref="F340:F342"/>
    <mergeCell ref="G340:G342"/>
    <mergeCell ref="H340:H342"/>
    <mergeCell ref="E328:E333"/>
    <mergeCell ref="F328:F333"/>
    <mergeCell ref="G328:G333"/>
    <mergeCell ref="H328:H333"/>
    <mergeCell ref="E334:E335"/>
    <mergeCell ref="F334:F335"/>
    <mergeCell ref="G334:G335"/>
    <mergeCell ref="H334:H335"/>
    <mergeCell ref="E348:E351"/>
    <mergeCell ref="F348:F351"/>
    <mergeCell ref="G348:G351"/>
    <mergeCell ref="H348:H351"/>
    <mergeCell ref="E343:E344"/>
    <mergeCell ref="F343:F344"/>
    <mergeCell ref="G343:G344"/>
    <mergeCell ref="H343:H344"/>
    <mergeCell ref="E345:E347"/>
    <mergeCell ref="F345:F347"/>
    <mergeCell ref="G345:G347"/>
    <mergeCell ref="H345:H347"/>
  </mergeCells>
  <phoneticPr fontId="6" type="noConversion"/>
  <dataValidations count="1">
    <dataValidation allowBlank="1" showInputMessage="1" showErrorMessage="1" promptTitle="Resumen Narrativo / Sintaxis:" prompt="Sustantivo derivado de un verbo + complemento._x000a_Ejemplo:_x000a_Administración del padrón de beneficiarios." sqref="N7:O7 Q7:R7" xr:uid="{BC4913F2-84D5-4ACD-815F-F3871F369638}"/>
  </dataValidations>
  <printOptions horizontalCentered="1"/>
  <pageMargins left="0.39370078740157483" right="0.39370078740157483" top="0.35433070866141736" bottom="0.35433070866141736" header="0.31496062992125984" footer="0.31496062992125984"/>
  <pageSetup scale="38" fitToHeight="10" orientation="landscape" r:id="rId1"/>
  <rowBreaks count="8" manualBreakCount="8">
    <brk id="23" max="16383" man="1"/>
    <brk id="39" max="16383" man="1"/>
    <brk id="51" max="16383" man="1"/>
    <brk id="69" max="16383" man="1"/>
    <brk id="97" max="16383" man="1"/>
    <brk id="151" max="16383" man="1"/>
    <brk id="201" max="16383" man="1"/>
    <brk id="301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Componentes y actividades</vt:lpstr>
      <vt:lpstr>'Componentes y actividades'!Área_de_impresión</vt:lpstr>
      <vt:lpstr>'Componentes y actividades'!Títulos_a_imprimir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Fco As</dc:creator>
  <cp:lastModifiedBy>Usuario</cp:lastModifiedBy>
  <cp:lastPrinted>2026-03-24T22:47:07Z</cp:lastPrinted>
  <dcterms:created xsi:type="dcterms:W3CDTF">2026-02-14T19:58:07Z</dcterms:created>
  <dcterms:modified xsi:type="dcterms:W3CDTF">2026-03-24T22:49:18Z</dcterms:modified>
</cp:coreProperties>
</file>